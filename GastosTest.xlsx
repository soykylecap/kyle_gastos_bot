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93cdba5f2b697f/Documents/Programacion/GastosObra/"/>
    </mc:Choice>
  </mc:AlternateContent>
  <xr:revisionPtr revIDLastSave="0" documentId="11_64158A33377B910D8032B9075C04FAB13E0B006B" xr6:coauthVersionLast="47" xr6:coauthVersionMax="47" xr10:uidLastSave="{00000000-0000-0000-0000-000000000000}"/>
  <bookViews>
    <workbookView xWindow="-120" yWindow="-120" windowWidth="29040" windowHeight="15840" tabRatio="589" xr2:uid="{00000000-000D-0000-FFFF-FFFF00000000}"/>
  </bookViews>
  <sheets>
    <sheet name="Cajas" sheetId="1" r:id="rId1"/>
    <sheet name="Informe" sheetId="2" r:id="rId2"/>
    <sheet name="Dias" sheetId="3" r:id="rId3"/>
    <sheet name="Cuenta inicial" sheetId="4" r:id="rId4"/>
  </sheets>
  <definedNames>
    <definedName name="SegmentaciónDeDatos_Informe">#N/A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4" l="1"/>
  <c r="M22" i="4"/>
  <c r="O18" i="4"/>
  <c r="M18" i="4"/>
  <c r="O17" i="4"/>
  <c r="M17" i="4"/>
  <c r="O16" i="4"/>
  <c r="O28" i="4" s="1"/>
  <c r="M16" i="4"/>
  <c r="M28" i="4" s="1"/>
  <c r="E15" i="4"/>
  <c r="F11" i="4"/>
  <c r="F13" i="4" s="1"/>
  <c r="F17" i="4" s="1"/>
  <c r="E11" i="4"/>
  <c r="E10" i="4"/>
  <c r="E13" i="4" s="1"/>
  <c r="E17" i="4" s="1"/>
  <c r="E5" i="4"/>
  <c r="G9" i="2"/>
  <c r="G2" i="2"/>
  <c r="G61" i="1"/>
  <c r="K60" i="1"/>
  <c r="K59" i="1"/>
  <c r="K58" i="1"/>
  <c r="G57" i="1"/>
  <c r="K57" i="1" s="1"/>
  <c r="K56" i="1"/>
  <c r="G55" i="1"/>
  <c r="K55" i="1" s="1"/>
  <c r="K54" i="1"/>
  <c r="G52" i="1"/>
  <c r="K51" i="1"/>
  <c r="K50" i="1"/>
  <c r="G47" i="1"/>
  <c r="K46" i="1"/>
  <c r="H45" i="1"/>
  <c r="G39" i="1"/>
  <c r="K38" i="1"/>
  <c r="H38" i="1"/>
  <c r="I35" i="1"/>
  <c r="K35" i="1" s="1"/>
  <c r="G35" i="1"/>
  <c r="G36" i="1" s="1"/>
  <c r="K34" i="1"/>
  <c r="H34" i="1"/>
  <c r="I33" i="1"/>
  <c r="K33" i="1" s="1"/>
  <c r="G33" i="1"/>
  <c r="K32" i="1"/>
  <c r="H32" i="1"/>
  <c r="D15" i="1"/>
  <c r="G14" i="1"/>
  <c r="K13" i="1"/>
  <c r="H13" i="1"/>
  <c r="H14" i="1" s="1"/>
  <c r="G8" i="1"/>
  <c r="K7" i="1"/>
  <c r="H7" i="1"/>
  <c r="G6" i="1"/>
  <c r="K6" i="1" s="1"/>
  <c r="I5" i="1"/>
  <c r="K5" i="1" s="1"/>
  <c r="I4" i="1"/>
  <c r="K4" i="1" s="1"/>
  <c r="I3" i="1"/>
  <c r="K3" i="1" s="1"/>
  <c r="U2" i="1"/>
  <c r="U3" i="1" s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S2" i="1"/>
  <c r="K2" i="1"/>
  <c r="H2" i="1"/>
  <c r="J2" i="1" s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G10" i="2" l="1"/>
  <c r="H9" i="2"/>
  <c r="G62" i="1"/>
  <c r="K61" i="1"/>
  <c r="G53" i="1"/>
  <c r="K53" i="1" s="1"/>
  <c r="K52" i="1"/>
  <c r="G48" i="1"/>
  <c r="K47" i="1"/>
  <c r="G40" i="1"/>
  <c r="K39" i="1"/>
  <c r="K36" i="1"/>
  <c r="G37" i="1"/>
  <c r="K37" i="1" s="1"/>
  <c r="G15" i="1"/>
  <c r="K14" i="1"/>
  <c r="K8" i="1"/>
  <c r="G9" i="1"/>
  <c r="S3" i="1"/>
  <c r="Q2" i="1"/>
  <c r="M1" i="1"/>
  <c r="H10" i="2" l="1"/>
  <c r="G11" i="2"/>
  <c r="H11" i="2" s="1"/>
  <c r="G12" i="2"/>
  <c r="H12" i="2" s="1"/>
  <c r="K62" i="1"/>
  <c r="G63" i="1"/>
  <c r="K48" i="1"/>
  <c r="G49" i="1"/>
  <c r="K49" i="1" s="1"/>
  <c r="K40" i="1"/>
  <c r="G41" i="1"/>
  <c r="G17" i="1"/>
  <c r="K15" i="1"/>
  <c r="G16" i="1"/>
  <c r="K16" i="1" s="1"/>
  <c r="G10" i="1"/>
  <c r="K9" i="1"/>
  <c r="S4" i="1"/>
  <c r="Q3" i="1"/>
  <c r="K63" i="1" l="1"/>
  <c r="G64" i="1"/>
  <c r="K41" i="1"/>
  <c r="G42" i="1"/>
  <c r="K17" i="1"/>
  <c r="G18" i="1"/>
  <c r="K10" i="1"/>
  <c r="G11" i="1"/>
  <c r="S5" i="1"/>
  <c r="Q4" i="1"/>
  <c r="K64" i="1" l="1"/>
  <c r="G65" i="1"/>
  <c r="K42" i="1"/>
  <c r="G43" i="1"/>
  <c r="K18" i="1"/>
  <c r="G19" i="1"/>
  <c r="G12" i="1"/>
  <c r="K12" i="1" s="1"/>
  <c r="K11" i="1"/>
  <c r="S6" i="1"/>
  <c r="Q5" i="1"/>
  <c r="K65" i="1" l="1"/>
  <c r="G66" i="1"/>
  <c r="K43" i="1"/>
  <c r="G44" i="1"/>
  <c r="K19" i="1"/>
  <c r="G20" i="1"/>
  <c r="S7" i="1"/>
  <c r="Q6" i="1"/>
  <c r="K66" i="1" l="1"/>
  <c r="G67" i="1"/>
  <c r="K44" i="1"/>
  <c r="G45" i="1"/>
  <c r="K45" i="1" s="1"/>
  <c r="G21" i="1"/>
  <c r="K20" i="1"/>
  <c r="S8" i="1"/>
  <c r="Q7" i="1"/>
  <c r="K67" i="1" l="1"/>
  <c r="G68" i="1"/>
  <c r="G22" i="1"/>
  <c r="K21" i="1"/>
  <c r="S9" i="1"/>
  <c r="Q8" i="1"/>
  <c r="K68" i="1" l="1"/>
  <c r="G69" i="1"/>
  <c r="K22" i="1"/>
  <c r="G23" i="1"/>
  <c r="S10" i="1"/>
  <c r="Q9" i="1"/>
  <c r="K69" i="1" l="1"/>
  <c r="G70" i="1"/>
  <c r="G24" i="1"/>
  <c r="K23" i="1"/>
  <c r="S11" i="1"/>
  <c r="Q10" i="1"/>
  <c r="K70" i="1" l="1"/>
  <c r="G71" i="1"/>
  <c r="K24" i="1"/>
  <c r="G25" i="1"/>
  <c r="S12" i="1"/>
  <c r="Q11" i="1"/>
  <c r="K71" i="1" l="1"/>
  <c r="G72" i="1"/>
  <c r="K25" i="1"/>
  <c r="G26" i="1"/>
  <c r="S13" i="1"/>
  <c r="Q12" i="1"/>
  <c r="K72" i="1" l="1"/>
  <c r="G73" i="1"/>
  <c r="K26" i="1"/>
  <c r="G27" i="1"/>
  <c r="Q13" i="1"/>
  <c r="S14" i="1"/>
  <c r="K73" i="1" l="1"/>
  <c r="G74" i="1"/>
  <c r="G28" i="1"/>
  <c r="K27" i="1"/>
  <c r="S15" i="1"/>
  <c r="Q14" i="1"/>
  <c r="K74" i="1" l="1"/>
  <c r="G75" i="1"/>
  <c r="K28" i="1"/>
  <c r="G29" i="1"/>
  <c r="S16" i="1"/>
  <c r="Q15" i="1"/>
  <c r="K75" i="1" l="1"/>
  <c r="G76" i="1"/>
  <c r="G30" i="1"/>
  <c r="K29" i="1"/>
  <c r="Q16" i="1"/>
  <c r="S17" i="1"/>
  <c r="K76" i="1" l="1"/>
  <c r="G77" i="1"/>
  <c r="K30" i="1"/>
  <c r="G31" i="1"/>
  <c r="K31" i="1" s="1"/>
  <c r="S18" i="1"/>
  <c r="Q17" i="1"/>
  <c r="K77" i="1" l="1"/>
  <c r="G78" i="1"/>
  <c r="S19" i="1"/>
  <c r="Q18" i="1"/>
  <c r="K78" i="1" l="1"/>
  <c r="G79" i="1"/>
  <c r="Q19" i="1"/>
  <c r="S20" i="1"/>
  <c r="K79" i="1" l="1"/>
  <c r="G80" i="1"/>
  <c r="S21" i="1"/>
  <c r="Q20" i="1"/>
  <c r="K80" i="1" l="1"/>
  <c r="G81" i="1"/>
  <c r="Q21" i="1"/>
  <c r="S22" i="1"/>
  <c r="K81" i="1" l="1"/>
  <c r="G82" i="1"/>
  <c r="Q22" i="1"/>
  <c r="S23" i="1"/>
  <c r="K82" i="1" l="1"/>
  <c r="G83" i="1"/>
  <c r="S24" i="1"/>
  <c r="Q23" i="1"/>
  <c r="K83" i="1" l="1"/>
  <c r="G84" i="1"/>
  <c r="Q24" i="1"/>
  <c r="S25" i="1"/>
  <c r="K84" i="1" l="1"/>
  <c r="G85" i="1"/>
  <c r="Q25" i="1"/>
  <c r="S26" i="1"/>
  <c r="K85" i="1" l="1"/>
  <c r="G86" i="1"/>
  <c r="S27" i="1"/>
  <c r="Q26" i="1"/>
  <c r="K86" i="1" l="1"/>
  <c r="G87" i="1"/>
  <c r="S28" i="1"/>
  <c r="Q27" i="1"/>
  <c r="K87" i="1" l="1"/>
  <c r="G88" i="1"/>
  <c r="Q28" i="1"/>
  <c r="S29" i="1"/>
  <c r="K88" i="1" l="1"/>
  <c r="G89" i="1"/>
  <c r="S30" i="1"/>
  <c r="Q29" i="1"/>
  <c r="K89" i="1" l="1"/>
  <c r="G90" i="1"/>
  <c r="Q30" i="1"/>
  <c r="S31" i="1"/>
  <c r="K90" i="1" l="1"/>
  <c r="G91" i="1"/>
  <c r="S32" i="1"/>
  <c r="Q31" i="1"/>
  <c r="K91" i="1" l="1"/>
  <c r="G92" i="1"/>
  <c r="S33" i="1"/>
  <c r="Q32" i="1"/>
  <c r="K92" i="1" l="1"/>
  <c r="G93" i="1"/>
  <c r="S34" i="1"/>
  <c r="Q33" i="1"/>
  <c r="G7" i="2" s="1"/>
  <c r="K93" i="1" l="1"/>
  <c r="G94" i="1"/>
  <c r="S35" i="1"/>
  <c r="Q34" i="1"/>
  <c r="K94" i="1" l="1"/>
  <c r="G95" i="1"/>
  <c r="Q35" i="1"/>
  <c r="S36" i="1"/>
  <c r="K95" i="1" l="1"/>
  <c r="G96" i="1"/>
  <c r="S37" i="1"/>
  <c r="Q36" i="1"/>
  <c r="K96" i="1" l="1"/>
  <c r="G97" i="1"/>
  <c r="S38" i="1"/>
  <c r="Q37" i="1"/>
  <c r="K97" i="1" l="1"/>
  <c r="G98" i="1"/>
  <c r="S39" i="1"/>
  <c r="Q39" i="1" s="1"/>
  <c r="M2" i="1" s="1"/>
  <c r="Q38" i="1"/>
  <c r="K98" i="1" l="1"/>
  <c r="G99" i="1"/>
  <c r="K99" i="1" l="1"/>
  <c r="G100" i="1"/>
  <c r="K100" i="1" l="1"/>
  <c r="G101" i="1"/>
  <c r="K101" i="1" l="1"/>
  <c r="G102" i="1"/>
  <c r="K102" i="1" l="1"/>
  <c r="G103" i="1"/>
  <c r="K103" i="1" l="1"/>
  <c r="G104" i="1"/>
  <c r="K104" i="1" l="1"/>
  <c r="G105" i="1"/>
  <c r="K105" i="1" l="1"/>
  <c r="G106" i="1"/>
  <c r="K106" i="1" l="1"/>
  <c r="G107" i="1"/>
  <c r="K107" i="1" l="1"/>
  <c r="G108" i="1"/>
  <c r="K108" i="1" l="1"/>
  <c r="G109" i="1"/>
  <c r="K109" i="1" l="1"/>
  <c r="G110" i="1"/>
  <c r="K110" i="1" l="1"/>
  <c r="G111" i="1"/>
  <c r="K111" i="1" l="1"/>
  <c r="G112" i="1"/>
  <c r="K112" i="1" l="1"/>
  <c r="G113" i="1"/>
  <c r="K113" i="1" l="1"/>
  <c r="G114" i="1"/>
  <c r="K114" i="1" l="1"/>
  <c r="G115" i="1"/>
  <c r="K115" i="1" l="1"/>
  <c r="G116" i="1"/>
  <c r="K116" i="1" l="1"/>
  <c r="G117" i="1"/>
  <c r="K117" i="1" l="1"/>
  <c r="G118" i="1"/>
  <c r="K118" i="1" l="1"/>
  <c r="G119" i="1"/>
  <c r="K119" i="1" l="1"/>
  <c r="G120" i="1"/>
  <c r="K120" i="1" l="1"/>
  <c r="G121" i="1"/>
  <c r="K121" i="1" l="1"/>
  <c r="G122" i="1"/>
  <c r="K122" i="1" l="1"/>
  <c r="G123" i="1"/>
  <c r="K123" i="1" l="1"/>
  <c r="G124" i="1"/>
  <c r="K124" i="1" l="1"/>
  <c r="G125" i="1"/>
  <c r="K125" i="1" l="1"/>
  <c r="G126" i="1"/>
  <c r="K126" i="1" l="1"/>
  <c r="G127" i="1"/>
  <c r="K127" i="1" l="1"/>
  <c r="G128" i="1"/>
  <c r="K128" i="1" l="1"/>
  <c r="G129" i="1"/>
  <c r="K129" i="1" l="1"/>
  <c r="G130" i="1"/>
  <c r="K130" i="1" l="1"/>
  <c r="G131" i="1"/>
  <c r="K131" i="1" l="1"/>
  <c r="G132" i="1"/>
  <c r="K132" i="1" l="1"/>
  <c r="G133" i="1"/>
  <c r="K133" i="1" l="1"/>
  <c r="G134" i="1"/>
  <c r="K134" i="1" l="1"/>
  <c r="G135" i="1"/>
  <c r="K135" i="1" l="1"/>
  <c r="G136" i="1"/>
  <c r="K136" i="1" l="1"/>
  <c r="G137" i="1"/>
  <c r="K137" i="1" l="1"/>
  <c r="G138" i="1"/>
  <c r="K138" i="1" l="1"/>
  <c r="G139" i="1"/>
  <c r="K139" i="1" l="1"/>
  <c r="G140" i="1"/>
  <c r="K140" i="1" l="1"/>
  <c r="G141" i="1"/>
  <c r="K141" i="1" l="1"/>
  <c r="G142" i="1"/>
  <c r="K142" i="1" l="1"/>
  <c r="G143" i="1"/>
  <c r="K143" i="1" l="1"/>
  <c r="G144" i="1"/>
  <c r="K144" i="1" l="1"/>
  <c r="G145" i="1"/>
  <c r="K145" i="1" l="1"/>
  <c r="G146" i="1"/>
  <c r="K146" i="1" l="1"/>
  <c r="G147" i="1"/>
  <c r="K147" i="1" l="1"/>
  <c r="G148" i="1"/>
  <c r="K148" i="1" l="1"/>
  <c r="G149" i="1"/>
  <c r="K149" i="1" l="1"/>
  <c r="G150" i="1"/>
  <c r="K150" i="1" l="1"/>
  <c r="G151" i="1"/>
  <c r="K151" i="1" l="1"/>
  <c r="G152" i="1"/>
  <c r="K152" i="1" l="1"/>
  <c r="G153" i="1"/>
  <c r="K153" i="1" l="1"/>
  <c r="G154" i="1"/>
  <c r="K154" i="1" l="1"/>
  <c r="G155" i="1"/>
  <c r="K155" i="1" l="1"/>
  <c r="G156" i="1"/>
  <c r="K156" i="1" l="1"/>
  <c r="G157" i="1"/>
  <c r="K157" i="1" l="1"/>
  <c r="G158" i="1"/>
  <c r="K158" i="1" l="1"/>
  <c r="G159" i="1"/>
  <c r="K159" i="1" l="1"/>
  <c r="G160" i="1"/>
  <c r="K160" i="1" l="1"/>
  <c r="G161" i="1"/>
  <c r="K161" i="1" l="1"/>
  <c r="G162" i="1"/>
  <c r="K162" i="1" l="1"/>
  <c r="G163" i="1"/>
  <c r="K163" i="1" l="1"/>
  <c r="G164" i="1"/>
  <c r="K164" i="1" l="1"/>
  <c r="G165" i="1"/>
  <c r="K165" i="1" l="1"/>
  <c r="G166" i="1"/>
  <c r="K166" i="1" l="1"/>
  <c r="G167" i="1"/>
  <c r="K167" i="1" l="1"/>
  <c r="G168" i="1"/>
  <c r="K168" i="1" l="1"/>
  <c r="G169" i="1"/>
  <c r="K169" i="1" l="1"/>
  <c r="G170" i="1"/>
  <c r="K170" i="1" l="1"/>
  <c r="G171" i="1"/>
  <c r="K171" i="1" l="1"/>
  <c r="G172" i="1"/>
  <c r="K172" i="1" l="1"/>
  <c r="G173" i="1"/>
  <c r="K173" i="1" l="1"/>
  <c r="G174" i="1"/>
  <c r="K174" i="1" l="1"/>
  <c r="G175" i="1"/>
  <c r="K175" i="1" l="1"/>
  <c r="G176" i="1"/>
  <c r="K176" i="1" l="1"/>
  <c r="G177" i="1"/>
  <c r="K177" i="1" l="1"/>
  <c r="G178" i="1"/>
  <c r="K178" i="1" l="1"/>
  <c r="G179" i="1"/>
  <c r="K179" i="1" l="1"/>
  <c r="G180" i="1"/>
  <c r="K180" i="1" l="1"/>
  <c r="G181" i="1"/>
  <c r="K181" i="1" l="1"/>
  <c r="G182" i="1"/>
  <c r="K182" i="1" l="1"/>
  <c r="G183" i="1"/>
  <c r="K183" i="1" l="1"/>
  <c r="G184" i="1"/>
  <c r="K184" i="1" l="1"/>
  <c r="G185" i="1"/>
  <c r="G186" i="1" l="1"/>
  <c r="K185" i="1"/>
  <c r="G187" i="1" l="1"/>
  <c r="K186" i="1"/>
  <c r="G188" i="1" l="1"/>
  <c r="K187" i="1"/>
  <c r="K188" i="1" l="1"/>
  <c r="G189" i="1"/>
  <c r="K189" i="1" l="1"/>
  <c r="G190" i="1"/>
  <c r="G191" i="1" l="1"/>
  <c r="K190" i="1"/>
  <c r="G192" i="1" l="1"/>
  <c r="K191" i="1"/>
  <c r="G193" i="1" l="1"/>
  <c r="K192" i="1"/>
  <c r="G194" i="1" l="1"/>
  <c r="K193" i="1"/>
  <c r="G195" i="1" l="1"/>
  <c r="K194" i="1"/>
  <c r="K195" i="1" l="1"/>
  <c r="G196" i="1"/>
  <c r="K196" i="1" l="1"/>
  <c r="G197" i="1"/>
  <c r="K197" i="1" l="1"/>
  <c r="G198" i="1"/>
  <c r="G199" i="1" l="1"/>
  <c r="K198" i="1"/>
  <c r="G200" i="1" l="1"/>
  <c r="K199" i="1"/>
  <c r="G201" i="1" l="1"/>
  <c r="K200" i="1"/>
  <c r="K201" i="1" l="1"/>
  <c r="G202" i="1"/>
  <c r="K202" i="1" l="1"/>
  <c r="G203" i="1"/>
  <c r="K203" i="1" l="1"/>
  <c r="G204" i="1"/>
  <c r="G205" i="1" l="1"/>
  <c r="K204" i="1"/>
  <c r="G206" i="1" l="1"/>
  <c r="K205" i="1"/>
  <c r="G207" i="1" l="1"/>
  <c r="K206" i="1"/>
  <c r="K207" i="1" l="1"/>
  <c r="G208" i="1"/>
  <c r="K208" i="1" l="1"/>
  <c r="G209" i="1"/>
  <c r="G210" i="1" l="1"/>
  <c r="K209" i="1"/>
  <c r="G211" i="1" l="1"/>
  <c r="K210" i="1"/>
  <c r="K211" i="1" l="1"/>
  <c r="G212" i="1"/>
  <c r="K212" i="1" l="1"/>
  <c r="G213" i="1"/>
  <c r="K213" i="1" l="1"/>
  <c r="G214" i="1"/>
  <c r="K214" i="1" l="1"/>
  <c r="G215" i="1"/>
  <c r="K215" i="1" l="1"/>
  <c r="G216" i="1"/>
  <c r="G217" i="1" l="1"/>
  <c r="K216" i="1"/>
  <c r="K217" i="1" l="1"/>
  <c r="G218" i="1"/>
  <c r="K218" i="1" l="1"/>
  <c r="G219" i="1"/>
  <c r="K219" i="1" l="1"/>
  <c r="G220" i="1"/>
  <c r="K220" i="1" l="1"/>
  <c r="G221" i="1"/>
  <c r="K221" i="1" l="1"/>
  <c r="G222" i="1"/>
  <c r="K222" i="1" l="1"/>
  <c r="G223" i="1"/>
  <c r="K223" i="1" l="1"/>
  <c r="G224" i="1"/>
  <c r="K224" i="1" l="1"/>
  <c r="G225" i="1"/>
  <c r="K225" i="1" l="1"/>
  <c r="G226" i="1"/>
  <c r="K226" i="1" l="1"/>
  <c r="G227" i="1"/>
  <c r="K227" i="1" l="1"/>
  <c r="G228" i="1"/>
  <c r="K228" i="1" l="1"/>
  <c r="G229" i="1"/>
  <c r="K229" i="1" l="1"/>
  <c r="G230" i="1"/>
  <c r="K230" i="1" l="1"/>
  <c r="G231" i="1"/>
  <c r="K231" i="1" l="1"/>
  <c r="G232" i="1"/>
  <c r="K232" i="1" l="1"/>
  <c r="G233" i="1"/>
  <c r="K233" i="1" l="1"/>
  <c r="G234" i="1"/>
  <c r="K234" i="1" l="1"/>
  <c r="G235" i="1"/>
  <c r="K235" i="1" l="1"/>
  <c r="G236" i="1"/>
  <c r="K236" i="1" l="1"/>
  <c r="G237" i="1"/>
  <c r="K237" i="1" l="1"/>
  <c r="G238" i="1"/>
  <c r="K238" i="1" l="1"/>
  <c r="G239" i="1"/>
  <c r="K239" i="1" l="1"/>
  <c r="G240" i="1"/>
  <c r="K240" i="1" l="1"/>
  <c r="G241" i="1"/>
  <c r="K241" i="1" l="1"/>
  <c r="G242" i="1"/>
  <c r="G8" i="2" l="1"/>
  <c r="K242" i="1"/>
</calcChain>
</file>

<file path=xl/sharedStrings.xml><?xml version="1.0" encoding="utf-8"?>
<sst xmlns="http://schemas.openxmlformats.org/spreadsheetml/2006/main" count="237" uniqueCount="145">
  <si>
    <t>PK</t>
  </si>
  <si>
    <t>Fecha</t>
  </si>
  <si>
    <t>Cant</t>
  </si>
  <si>
    <t>Detalle</t>
  </si>
  <si>
    <t>Rubro</t>
  </si>
  <si>
    <t>Dólar</t>
  </si>
  <si>
    <t>Ingresa</t>
  </si>
  <si>
    <t>Sale</t>
  </si>
  <si>
    <t>0</t>
  </si>
  <si>
    <t>En dolares</t>
  </si>
  <si>
    <t>Autor</t>
  </si>
  <si>
    <t>Saldo</t>
  </si>
  <si>
    <t>DiegoMov</t>
  </si>
  <si>
    <t>DiegoSaldo</t>
  </si>
  <si>
    <t>KyleMov</t>
  </si>
  <si>
    <t>KyleSaldo</t>
  </si>
  <si>
    <t>El vasco nos da pesos a $1520</t>
  </si>
  <si>
    <t>Dolares</t>
  </si>
  <si>
    <t xml:space="preserve">Compramos a mujer 1520 </t>
  </si>
  <si>
    <t>Compramos a Kyle</t>
  </si>
  <si>
    <t>Compramos a Kyle 1498</t>
  </si>
  <si>
    <t>Compramos a Diego</t>
  </si>
  <si>
    <t>Compramos a Diego 1498</t>
  </si>
  <si>
    <t>Compramos a mujer en el Camp</t>
  </si>
  <si>
    <t>Vendemos a Marcelo 1400</t>
  </si>
  <si>
    <t>Devolucion Saldo Carosio via Kyle</t>
  </si>
  <si>
    <t>Cambio de casas</t>
  </si>
  <si>
    <t>Vendemos a Marcelo</t>
  </si>
  <si>
    <t>Nafta</t>
  </si>
  <si>
    <t>Viaticos</t>
  </si>
  <si>
    <t>Vendemos a Tornillos a 1430</t>
  </si>
  <si>
    <t>Café</t>
  </si>
  <si>
    <t>Bocha "nos da" para Jeske</t>
  </si>
  <si>
    <t>"Pagamos" a Jeske</t>
  </si>
  <si>
    <t>Comida</t>
  </si>
  <si>
    <t>El camping paga Jeske</t>
  </si>
  <si>
    <t>Vendemos a Carosio a 1430</t>
  </si>
  <si>
    <t>Redondeo</t>
  </si>
  <si>
    <t>Vendemos a Lavadero 1410</t>
  </si>
  <si>
    <t>Tornillos Vialro 5x50</t>
  </si>
  <si>
    <t>Fijaciones</t>
  </si>
  <si>
    <t>Diego retira honorarios</t>
  </si>
  <si>
    <t>Deck impregnado</t>
  </si>
  <si>
    <t>Base</t>
  </si>
  <si>
    <t>Kyle retira honorarios</t>
  </si>
  <si>
    <t>Viga Multilaminada 2x6x8,5</t>
  </si>
  <si>
    <t>Techo</t>
  </si>
  <si>
    <t>Vendimos u$s 2000 a $ 1410.</t>
  </si>
  <si>
    <t>Viga Multilaminada 2x8x11</t>
  </si>
  <si>
    <t>Vendimos u$s 70 a $ 1400.</t>
  </si>
  <si>
    <t>Pino Impregnado 1x4x10</t>
  </si>
  <si>
    <t>Paredes</t>
  </si>
  <si>
    <t>Vendimos u$s 10 a $ 145.</t>
  </si>
  <si>
    <t>Vendimos u$s 10 a $ 1400.</t>
  </si>
  <si>
    <t>Pino Impregnado 1x4x14</t>
  </si>
  <si>
    <t>Pino Impregnado 1x2x10</t>
  </si>
  <si>
    <t>Aberturas</t>
  </si>
  <si>
    <t>Pino Impregnado 2x2x10</t>
  </si>
  <si>
    <t>Pino Impregnado 2x4x10</t>
  </si>
  <si>
    <t>Pino Impregnado 2x6x12</t>
  </si>
  <si>
    <t>Pino Impregnado 2x6x20</t>
  </si>
  <si>
    <t>Pino Impregnado 2x6x10</t>
  </si>
  <si>
    <t>Pino Impregnado 2x8x20</t>
  </si>
  <si>
    <t>Pino Impregnado 2x8x10</t>
  </si>
  <si>
    <t>Machimbre Pino 1x4</t>
  </si>
  <si>
    <t>Vendemos a Tornillos Pericole</t>
  </si>
  <si>
    <t>Tornillos Rothoblaas</t>
  </si>
  <si>
    <t>Vendemos a Carosio</t>
  </si>
  <si>
    <t>Conector Columna</t>
  </si>
  <si>
    <t>Arandelas anclaje</t>
  </si>
  <si>
    <t>Materiales Carosio Pilotines</t>
  </si>
  <si>
    <t>Vendemos a DiegoLavadero</t>
  </si>
  <si>
    <t>Alvar</t>
  </si>
  <si>
    <t>Publicidad</t>
  </si>
  <si>
    <t>Andrés</t>
  </si>
  <si>
    <t>Jeske adicionales</t>
  </si>
  <si>
    <t>Estructura</t>
  </si>
  <si>
    <t>Baterias y cargador dewalt</t>
  </si>
  <si>
    <t>Herramientas</t>
  </si>
  <si>
    <t>Manguera nivel</t>
  </si>
  <si>
    <t>Planos</t>
  </si>
  <si>
    <t>Varios</t>
  </si>
  <si>
    <t>2x1 saligna 4mt</t>
  </si>
  <si>
    <t>Diferencia de caja</t>
  </si>
  <si>
    <t>Arqueo Caja</t>
  </si>
  <si>
    <t>Cinta peligro y guantes</t>
  </si>
  <si>
    <t>Ferreteria</t>
  </si>
  <si>
    <t>Cartucheras herramientas</t>
  </si>
  <si>
    <t>Registro dominio web</t>
  </si>
  <si>
    <t>2000</t>
  </si>
  <si>
    <t>Diego</t>
  </si>
  <si>
    <t>Ajuste de caja</t>
  </si>
  <si>
    <t>Adelanto Matías</t>
  </si>
  <si>
    <t>Atornillador DeWalt</t>
  </si>
  <si>
    <t>Hola</t>
  </si>
  <si>
    <t>Gas</t>
  </si>
  <si>
    <t>dasdsa</t>
  </si>
  <si>
    <t>70</t>
  </si>
  <si>
    <t>das as</t>
  </si>
  <si>
    <t>10</t>
  </si>
  <si>
    <t>f</t>
  </si>
  <si>
    <t>Rubro Gastos</t>
  </si>
  <si>
    <t>Porcentaje</t>
  </si>
  <si>
    <t>M2 cubiertos</t>
  </si>
  <si>
    <t>M2 semicubiertos</t>
  </si>
  <si>
    <t>Meses de trabajo</t>
  </si>
  <si>
    <t>Valor ingresado a mano</t>
  </si>
  <si>
    <t>Total general</t>
  </si>
  <si>
    <t>Presupuesto</t>
  </si>
  <si>
    <t>Según acuerdo con el cliente</t>
  </si>
  <si>
    <t>Adelanto materiales</t>
  </si>
  <si>
    <t>De acuerdo a lo que recibimos</t>
  </si>
  <si>
    <t>Sobrante de materiales</t>
  </si>
  <si>
    <t>Es lo que hay en la caja en dolares</t>
  </si>
  <si>
    <t>Caja actual en pesos</t>
  </si>
  <si>
    <t>Pasada a dolares según ultima cotizacion</t>
  </si>
  <si>
    <t>Gastos</t>
  </si>
  <si>
    <t>Ver nota al pie</t>
  </si>
  <si>
    <t>Ganancia</t>
  </si>
  <si>
    <t>Presupuesto menos gastos</t>
  </si>
  <si>
    <t>Ganancia Diego</t>
  </si>
  <si>
    <t>por mes</t>
  </si>
  <si>
    <t>Ganancia Kyle</t>
  </si>
  <si>
    <t>Costo m2 Cubierto</t>
  </si>
  <si>
    <t>Costo m2 Semi cubierto</t>
  </si>
  <si>
    <t>Etiquetas de fila</t>
  </si>
  <si>
    <t>Suma de Cant</t>
  </si>
  <si>
    <t>Sal</t>
  </si>
  <si>
    <t>Dol</t>
  </si>
  <si>
    <t>Cotización del dólar</t>
  </si>
  <si>
    <t>Venta (Según compramos a esta mujer):</t>
  </si>
  <si>
    <t>Compra (Según ultimo mensaje de DolarOK):</t>
  </si>
  <si>
    <t>Promedio</t>
  </si>
  <si>
    <t>Pesos</t>
  </si>
  <si>
    <t>El Vasco nos dio u$s 10.000 en pesos:</t>
  </si>
  <si>
    <t>Compramos dolares a esta mujer a $1520:</t>
  </si>
  <si>
    <t>Compramos dolares a Kyle a $1498:</t>
  </si>
  <si>
    <t>Saldo a este momento:</t>
  </si>
  <si>
    <t>Kyle</t>
  </si>
  <si>
    <t>Compramos dolares a Diego a $1498:</t>
  </si>
  <si>
    <t>Caja final de Puente+Kyle:</t>
  </si>
  <si>
    <t>Conclusión:</t>
  </si>
  <si>
    <t>Con los pesos que nos dio el vasco, le compramos u$s 6000 a esta mujer,  u$s 3300 a Kyle y u$s 700 a Diego.</t>
  </si>
  <si>
    <t>De esa manera nos juntamos con los u$s 10.000 que necesitabamos para la obra.</t>
  </si>
  <si>
    <t>Ademas, gracias a que nos autocompramos los dolares, quedó en la empresa un saldo en pesos de $ 88.000.-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</si>
</sst>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;@"/>
    <numFmt numFmtId="165" formatCode="_-* #,##0_-;\-* #,##0_-;_-* &quot;-&quot;??_-;_-@_-"/>
    <numFmt numFmtId="166" formatCode="_-&quot;$&quot;\ * #,##0_-;\-&quot;$&quot;\ * #,##0_-;_-&quot;$&quot;\ * &quot;-&quot;??_-;_-@_-"/>
    <numFmt numFmtId="167" formatCode="yyyy\-mm\-dd\ h:mm:ss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/>
    <xf numFmtId="0" fontId="3" fillId="0" borderId="0"/>
    <xf numFmtId="9" fontId="1" fillId="0" borderId="0"/>
    <xf numFmtId="44" fontId="1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0" applyNumberFormat="1"/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 applyProtection="1">
      <alignment horizontal="center"/>
      <protection locked="0"/>
    </xf>
    <xf numFmtId="165" fontId="0" fillId="0" borderId="0" xfId="1" applyNumberFormat="1" applyFont="1" applyAlignment="1" applyProtection="1">
      <alignment horizontal="center"/>
      <protection locked="0"/>
    </xf>
    <xf numFmtId="164" fontId="0" fillId="2" borderId="0" xfId="0" applyNumberFormat="1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43" fontId="0" fillId="2" borderId="0" xfId="1" applyFont="1" applyFill="1" applyProtection="1">
      <protection locked="0"/>
    </xf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3" fontId="1" fillId="0" borderId="0" xfId="1"/>
    <xf numFmtId="0" fontId="2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3" applyFont="1"/>
    <xf numFmtId="165" fontId="0" fillId="0" borderId="0" xfId="1" applyNumberFormat="1" applyFont="1"/>
    <xf numFmtId="0" fontId="4" fillId="0" borderId="0" xfId="0" applyFont="1"/>
    <xf numFmtId="0" fontId="5" fillId="0" borderId="0" xfId="0" applyFont="1"/>
    <xf numFmtId="9" fontId="5" fillId="0" borderId="0" xfId="3" applyFont="1"/>
    <xf numFmtId="165" fontId="1" fillId="0" borderId="0" xfId="1" applyNumberFormat="1"/>
    <xf numFmtId="0" fontId="0" fillId="0" borderId="3" xfId="0" applyBorder="1"/>
    <xf numFmtId="166" fontId="0" fillId="0" borderId="0" xfId="4" applyNumberFormat="1" applyFont="1"/>
    <xf numFmtId="0" fontId="0" fillId="0" borderId="0" xfId="0" applyAlignment="1">
      <alignment horizontal="right"/>
    </xf>
    <xf numFmtId="43" fontId="6" fillId="0" borderId="0" xfId="1" applyFont="1"/>
    <xf numFmtId="43" fontId="0" fillId="0" borderId="1" xfId="1" applyFont="1" applyBorder="1"/>
    <xf numFmtId="43" fontId="2" fillId="0" borderId="4" xfId="1" applyFont="1" applyBorder="1"/>
    <xf numFmtId="43" fontId="2" fillId="0" borderId="4" xfId="1" applyFont="1" applyBorder="1" applyAlignment="1">
      <alignment horizontal="center"/>
    </xf>
    <xf numFmtId="0" fontId="0" fillId="0" borderId="0" xfId="1" applyNumberFormat="1" applyFont="1" applyAlignment="1" applyProtection="1">
      <alignment horizontal="center"/>
      <protection locked="0"/>
    </xf>
    <xf numFmtId="0" fontId="0" fillId="0" borderId="0" xfId="1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43" fontId="2" fillId="0" borderId="1" xfId="0" applyNumberFormat="1" applyFont="1" applyBorder="1"/>
    <xf numFmtId="43" fontId="1" fillId="2" borderId="0" xfId="1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164" fontId="7" fillId="2" borderId="0" xfId="0" applyNumberFormat="1" applyFont="1" applyFill="1" applyAlignment="1" applyProtection="1">
      <alignment horizontal="center"/>
      <protection locked="0"/>
    </xf>
    <xf numFmtId="167" fontId="0" fillId="0" borderId="0" xfId="0" applyNumberFormat="1"/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43" fontId="1" fillId="3" borderId="0" xfId="1" applyFill="1"/>
    <xf numFmtId="0" fontId="1" fillId="0" borderId="0" xfId="1" applyNumberFormat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5">
    <cellStyle name="Hyperlink" xfId="2" xr:uid="{00000000-0005-0000-0000-000002000000}"/>
    <cellStyle name="Millares" xfId="1" builtinId="3"/>
    <cellStyle name="Moneda" xfId="4" builtinId="4"/>
    <cellStyle name="Normal" xfId="0" builtinId="0"/>
    <cellStyle name="Porcentaje" xfId="3" builtinId="5"/>
  </cellStyles>
  <dxfs count="17">
    <dxf>
      <alignment horizontal="center"/>
    </dxf>
    <dxf>
      <alignment vertical="bottom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alignment horizontal="center" vertical="bottom"/>
    </dxf>
    <dxf>
      <numFmt numFmtId="164" formatCode="dd/mm/yy;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dd/mm/yy;@"/>
      <alignment horizontal="center" vertical="bottom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pivotSource>
    <c:name>[GastosTest.xlsx]Informe!TablaDinámica1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Porcentajes de Gastos</a:t>
            </a:r>
          </a:p>
        </c:rich>
      </c:tx>
      <c:layout>
        <c:manualLayout>
          <c:xMode val="edge"/>
          <c:yMode val="edge"/>
          <c:x val="0.35852733719289859"/>
          <c:y val="2.905569007263923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27016800564899"/>
          <c:y val="0.12895261164059291"/>
          <c:w val="0.79964631324637725"/>
          <c:h val="0.7903928397591133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Informe!$C$2</c:f>
              <c:strCache>
                <c:ptCount val="1"/>
                <c:pt idx="0">
                  <c:v>Dolares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Informe!$B$3:$B$5</c:f>
              <c:strCache>
                <c:ptCount val="2"/>
                <c:pt idx="0">
                  <c:v>Fijaciones</c:v>
                </c:pt>
                <c:pt idx="1">
                  <c:v>Viaticos</c:v>
                </c:pt>
              </c:strCache>
            </c:strRef>
          </c:cat>
          <c:val>
            <c:numRef>
              <c:f>Informe!$C$3:$C$5</c:f>
              <c:numCache>
                <c:formatCode>_(* #,##0.00_);_(* \(#,##0.00\);_(* "-"??_);_(@_)</c:formatCode>
                <c:ptCount val="2"/>
                <c:pt idx="0">
                  <c:v>875.52447552447552</c:v>
                </c:pt>
                <c:pt idx="1">
                  <c:v>128.75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C-43A2-8FA6-C4875E2A896E}"/>
            </c:ext>
          </c:extLst>
        </c:ser>
        <c:ser>
          <c:idx val="1"/>
          <c:order val="1"/>
          <c:tx>
            <c:strRef>
              <c:f>Informe!$D$2</c:f>
              <c:strCache>
                <c:ptCount val="1"/>
                <c:pt idx="0">
                  <c:v>Porcentaje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Informe!$B$3:$B$5</c:f>
              <c:strCache>
                <c:ptCount val="2"/>
                <c:pt idx="0">
                  <c:v>Fijaciones</c:v>
                </c:pt>
                <c:pt idx="1">
                  <c:v>Viaticos</c:v>
                </c:pt>
              </c:strCache>
            </c:strRef>
          </c:cat>
          <c:val>
            <c:numRef>
              <c:f>Informe!$D$3:$D$5</c:f>
              <c:numCache>
                <c:formatCode>0.00%</c:formatCode>
                <c:ptCount val="2"/>
                <c:pt idx="0">
                  <c:v>0.87179799632688948</c:v>
                </c:pt>
                <c:pt idx="1">
                  <c:v>0.1282020036731106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C-43A2-8FA6-C4875E2A8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75285055"/>
        <c:axId val="975282175"/>
      </c:barChart>
      <c:catAx>
        <c:axId val="975285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5282175"/>
        <c:crosses val="autoZero"/>
        <c:auto val="1"/>
        <c:lblAlgn val="ctr"/>
        <c:lblOffset val="100"/>
        <c:noMultiLvlLbl val="0"/>
      </c:catAx>
      <c:valAx>
        <c:axId val="97528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5285055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18</xdr:row>
      <xdr:rowOff>133350</xdr:rowOff>
    </xdr:from>
    <xdr:to>
      <xdr:col>11</xdr:col>
      <xdr:colOff>581025</xdr:colOff>
      <xdr:row>43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s Kyle" refreshedDate="46066.383002662027" createdVersion="8" refreshedVersion="8" minRefreshableVersion="3" recordCount="240" xr:uid="{00000000-000A-0000-FFFF-FFFF00000000}">
  <cacheSource type="worksheet">
    <worksheetSource name="Gastos"/>
  </cacheSource>
  <cacheFields count="9">
    <cacheField name="Fecha" numFmtId="43">
      <sharedItems containsNonDate="0" containsDate="1" containsString="0" containsBlank="1" minDate="2026-01-06T00:00:00" maxDate="2026-02-13T00:00:00"/>
    </cacheField>
    <cacheField name="Cant" numFmtId="0">
      <sharedItems containsString="0" containsBlank="1" containsNumber="1" containsInteger="1" minValue="300" maxValue="6000"/>
    </cacheField>
    <cacheField name="Detalle" numFmtId="0">
      <sharedItems containsBlank="1" count="298">
        <m/>
        <s v="El vasco nos da pesos a $1520"/>
        <s v="Compramos a Kyle"/>
        <s v="Compramos a Diego"/>
        <s v="Compramos a mujer en el Camp"/>
        <s v="Devolucion Saldo Carosio via Kyle"/>
        <s v="Vendemos a Marcelo"/>
        <s v="Nafta"/>
        <s v="Café"/>
        <s v="Comida"/>
        <s v="Vendemos a Tornillos Pericole"/>
        <s v="Tornillos Rothoblaas"/>
        <s v="Compramos a $1520" u="1"/>
        <s v="Cambiamos a Marcelo" u="1"/>
        <s v="Cambiamos a Tuly" u="1"/>
        <s v="Aberturas Tuly" u="1"/>
        <s v="Mecha 16mm" u="1"/>
        <s v="Llave tubo" u="1"/>
        <s v="Cambiamos a Dólar Ok " u="1"/>
        <s v="Crislab Materiales Pilotines" u="1"/>
        <s v="Renovacion woodframe.ar" u="1"/>
        <s v="Adelanto herrero" u="1"/>
        <s v="Copias llaves" u="1"/>
        <s v="Saldo Herrero" u="1"/>
        <s v="Adelanto Matias" u="1"/>
        <s v="Cambiamos a Carosio" u="1"/>
        <s v="Durlock" u="1"/>
        <s v="Masilla" u="1"/>
        <s v="Placas cementicias 10mm" u="1"/>
        <s v="Zingueria" u="1"/>
        <s v="Lana de vidrio 50 mm" u="1"/>
        <s v="Asado" u="1"/>
        <s v="Cambiamos a Daniel" u="1"/>
        <s v="Peajes" u="1"/>
        <s v="Almuerzo" u="1"/>
        <s v="OSB Base" u="1"/>
        <s v="OSB Paredes" u="1"/>
        <s v="Maderera La Loma - 2x8 + 2x6" u="1"/>
        <s v="Maderera La Loma - 2x4 + 2x6" u="1"/>
        <s v="Maderera La Loma - 2x1 + 2x2" u="1"/>
        <s v="Maderera La Loma " u="1"/>
        <s v="Maderera La Loma - 2x1" u="1"/>
        <s v="Maderera La Loma - Chapas" u="1"/>
        <s v="Rollos Aislante Agua Durlock" u="1"/>
        <s v="Conectores Simpson S/H2.5" u="1"/>
        <s v="Ajuste de caja" u="1"/>
        <s v="Segundo pago de Matias" u="1"/>
        <s v="Brocas y anclajes" u="1"/>
        <s v="Metros, mechas e insumos" u="1"/>
        <s v="Caños agua" u="1"/>
        <s v="Matias Valiente" u="1"/>
        <s v="Bateria DeWalt" u="1"/>
        <s v="Rejilla Pileta de Patio" u="1"/>
        <s v="Caños, codos y llaves de paso" u="1"/>
        <s v="Aerosol pintura" u="1"/>
        <s v="Desague ducha" u="1"/>
        <s v="Planos" u="1"/>
        <s v="Desayuno" u="1"/>
        <s v="Panaderia" u="1"/>
        <s v="Caños" u="1"/>
        <s v="Verduleria" u="1"/>
        <s v="Pedro, semana 2" u="1"/>
        <s v="Codos" u="1"/>
        <s v="Ferreteria" u="1"/>
        <s v="Ensalada" u="1"/>
        <s v="Pedro, semana 1" u="1"/>
        <s v="Accesorios desagues" u="1"/>
        <s v="Pedro, semana 3" u="1"/>
        <s v="Comida x Pedro" u="1"/>
        <s v="Merienda" u="1"/>
        <s v="Manguera compresor" u="1"/>
        <s v="Diego retira para compensar gas Kyle" u="1"/>
        <s v="Merienda con Eli" u="1"/>
        <s v="Cambiamos en Pinamar" u="1"/>
        <s v="Nafta a Pinamar" u="1"/>
        <s v="Amortizacion Auto" u="1"/>
        <s v="Havanna" u="1"/>
        <s v="Carrefour" u="1"/>
        <s v="Pedro semana 4" u="1"/>
        <s v="Locro" u="1"/>
        <s v="Pino 2x10x6,10" u="1"/>
        <s v="Pino 2x8x3,66" u="1"/>
        <s v="Pino 2x6x5,50" u="1"/>
        <s v="Pino 2x6x3,66" u="1"/>
        <s v="Pino 2x4x3,66" u="1"/>
        <s v="Pino 1x6x4,27" u="1"/>
        <s v="Pino 1x4x4,27" u="1"/>
        <s v="Deck Pino" u="1"/>
        <s v="Machimbre techo" u="1"/>
        <s v="Machimbre galeria" u="1"/>
        <s v="Revestimiento Pino" u="1"/>
        <s v="Piso Grandis 14mm x 80mm" u="1"/>
        <s v="Pedro semana 5" u="1"/>
        <s v="Clavos Dorking" u="1"/>
        <s v="Electricidad Belgrano" u="1"/>
        <s v="Clavos Dorking / Comisionista" u="1"/>
        <s v="Cera " u="1"/>
        <s v="Pinceles" u="1"/>
        <s v="Circular DeWalt" u="1"/>
        <s v="Base columna" u="1"/>
        <s v="Pedro semana 6" u="1"/>
        <s v="Helado" u="1"/>
        <s v="Queso y Salame Oscar" u="1"/>
        <s v="Vendimos a Luciano Ortega" u="1"/>
        <s v="Poliruetano proyectado" u="1"/>
        <s v="Clavos 3&quot;" u="1"/>
        <s v="Tartas" u="1"/>
        <s v="Pedro semana 7" u="1"/>
        <s v="Clavitos clavadora" u="1"/>
        <s v="Sambuches" u="1"/>
        <s v="Café y tacitas" u="1"/>
        <s v="Cambiamos en Marcelo" u="1"/>
        <s v="Pedro semana 8" u="1"/>
        <s v="Medio caño 8&quot; calefon" u="1"/>
        <s v="Poliruetano en aerosol" u="1"/>
        <s v="Fletes Lana de vidrio" u="1"/>
        <s v="Teofilo Reunion" u="1"/>
        <s v="Mechero cocina" u="1"/>
        <s v="Cumbrera y compriband" u="1"/>
        <s v="Pedro semana 9" u="1"/>
        <s v="Canilla ducha" u="1"/>
        <s v="Pintura" u="1"/>
        <s v="Gallo Blanco" u="1"/>
        <s v="Cambiamos en Electricidad Belgrano" u="1"/>
        <s v="Cambiamos en Gallo Blanco" u="1"/>
        <s v="Herrajes Simpson" u="1"/>
        <s v="Cambiamos" u="1"/>
        <s v="Envio Fijaciones Simpson" u="1"/>
        <s v="Pedro semana 10" u="1"/>
        <s v="Poliruetano tubos" u="1"/>
        <s v="Llave selectora ML" u="1"/>
        <s v="Pedro semana 11" u="1"/>
        <s v="Puertas interior" u="1"/>
        <s v="Pintureria Alvear" u="1"/>
        <s v="Chiquito Flete Puertas" u="1"/>
        <s v="Pintureria Massini" u="1"/>
        <s v="Zingueria Gustavo Calefón" u="1"/>
        <s v="Bacha Johnson Casa Alfonsin" u="1"/>
        <s v="Faltante de caja" u="1"/>
        <s v="Inodoro y bidet con tapa y mochila" u="1"/>
        <s v="Griferia lavatorio" u="1"/>
        <s v="Griferia bidet" u="1"/>
        <s v="Bacha del baño" u="1"/>
        <s v="Griferia cocina" u="1"/>
        <s v="Diferencia en compra" u="1"/>
        <s v="Sellador poliruetanico" u="1"/>
        <s v="Pedro semana 12" u="1"/>
        <s v="Pedro semana 13" u="1"/>
        <s v="Ferreteria: lapices" u="1"/>
        <s v="Adelanto Facu" u="1"/>
        <s v="Sobrante de caja" u="1"/>
        <s v="Cerraduras" u="1"/>
        <s v="Cantoneras y Angulos" u="1"/>
        <s v="Pintura techo" u="1"/>
        <s v="Cerraduras Solar" u="1"/>
        <s v="Pedro semana 14" u="1"/>
        <s v="Frutas" u="1"/>
        <s v="Porcelanato baño" u="1"/>
        <s v="Mesada granito" u="1"/>
        <s v="Calefon" u="1"/>
        <s v="Placa fenolico 3mm" u="1"/>
        <s v="Café el Costal" u="1"/>
        <s v="Pedro semana 15" u="1"/>
        <s v="Diferencia Calefon" u="1"/>
        <s v="Pollo" u="1"/>
        <s v="Pan" u="1"/>
        <s v="Bisagras" u="1"/>
        <s v="Pedro semana 16" u="1"/>
        <s v="Grampas cables" u="1"/>
        <s v="Patas quebracho deck" u="1"/>
        <s v="Volquete" u="1"/>
        <s v="OSB piso" u="1"/>
        <s v="Chiquito Flete OSB" u="1"/>
        <s v="Plafones Pasillo" u="1"/>
        <s v="Pintura paredes" u="1"/>
        <s v="Kekol Laca" u="1"/>
        <s v="Aislante de piso" u="1"/>
        <s v="Rodillos" u="1"/>
        <s v="Disco corte porcelanato" u="1"/>
        <s v="Subway y pegamento" u="1"/>
        <s v="Malla base coat" u="1"/>
        <s v="Separadores Kyle" u="1"/>
        <s v="Separadores Diego" u="1"/>
        <s v="Lija" u="1"/>
        <s v="Pan + Mila" u="1"/>
        <s v="Cintas" u="1"/>
        <s v="Muebles" u="1"/>
        <s v="Pedro semana 18" u="1"/>
        <s v="Final Facu" u="1"/>
        <s v="Mecha porcelanato" u="1"/>
        <s v="Diferencia de caja" u="1"/>
        <s v="Saldo" u="1"/>
        <s v="Pedro semana 17" u="1"/>
        <s v="Pedro" u="1"/>
        <s v="Conectores Simpson Tirantes" u="1"/>
        <s v="Vendemos u$s 2500 a $ 389" u="1"/>
        <s v="6 Chapas Negras de 5,50 mts" u="1"/>
        <s v="Chapas Negras" u="1"/>
        <s v="Deck" u="1"/>
        <s v="Sal Cep 2x6 de 5,50" u="1"/>
        <s v="Sal Cep 2x6 de 5,50 (uno es obra ant)" u="1"/>
        <s v="Sal Cep 2x6 de 5,50 obra anterior" u="1"/>
        <s v="Sal Cep 2x6 de 4" u="1"/>
        <s v="Sal Cep 2x4 de 3,66" u="1"/>
        <s v="Sal Cep 2x1 de 4" u="1"/>
        <s v="Sal Cep 2x2 de 4" u="1"/>
        <s v="Sal Cep 1x6 de 4" u="1"/>
        <s v="Flete Madera y chapas" u="1"/>
        <s v="Sal Cep 3x8 de 5,50" u="1"/>
        <s v="Vendemos u$s 500 a Juan" u="1"/>
        <s v="OSB 11,1" u="1"/>
        <s v="OSB 18" u="1"/>
        <s v="Le vendemos u$s 100 a Ariel" u="1"/>
        <s v="Comida en viaje" u="1"/>
        <s v="Material grueso corralon Pilotines" u="1"/>
        <s v="Vendemos u$s 500 a $ 393" u="1"/>
        <s v="Chapas Negras compra a Ariel" u="1"/>
        <s v="Vendemos a Ariel u$s 300 a $390" u="1"/>
        <s v="Vendemos u$s 300 a $ 394" u="1"/>
        <s v="Vendemos u$s 300 a $ 396" u="1"/>
        <s v="Varillas roscadas" u="1"/>
        <s v="Adelanto Matias Valiente" u="1"/>
        <s v="Chiquito Prado muda materiales" u="1"/>
        <s v="Final Matias Valiente" u="1"/>
        <s v="16 kgs de Clavos de 5&quot;" u="1"/>
        <s v="Aberturas Tuli" u="1"/>
        <s v="Caños Agua y Desagues Gallo Blanco" u="1"/>
        <s v="Comida " u="1"/>
        <s v="Comida final de obra" u="1"/>
        <s v="Vendemos u$s 1800 a $ 461" u="1"/>
        <s v="Alvar" u="1"/>
        <s v="Redondeo " u="1"/>
        <s v="Vendemos u$s 400 a $ 467" u="1"/>
        <s v="Cargas Sociales" u="1"/>
        <s v="Vendemos u$s 600 a $ 480" u="1"/>
        <s v="Tornillos Tel Fix" u="1"/>
        <s v="Anafe" u="1"/>
        <s v="Caños blancos y cajas blancas" u="1"/>
        <s v="Vendemos u$s 1000 a $ 487" u="1"/>
        <s v="Manta hidrofuga Durlock" u="1"/>
        <s v="Durlock, masilla y montantes" u="1"/>
        <s v="Griferia Ducha" u="1"/>
        <s v="Tu bulon adaptador dorking" u="1"/>
        <s v="Cera Burbuja Quimica" u="1"/>
        <s v="Mueble cocina" u="1"/>
        <s v="Vendemos u$s 1500 a $ 485" u="1"/>
        <s v="Inodoro Bidet Bañera Ferrum" u="1"/>
        <s v="3 rollos de cables" u="1"/>
        <s v="Poliruetano" u="1"/>
        <s v="Puerta placa" u="1"/>
        <s v="Picaporte" u="1"/>
        <s v="Vendemos Dolares" u="1"/>
        <s v="Taladro Milwakee" u="1"/>
        <s v="Adelanto zingueria" u="1"/>
        <s v="Puntas PH2" u="1"/>
        <s v="Ajuste" u="1"/>
        <s v="Festejo techo" u="1"/>
        <s v="Pablo Martin" u="1"/>
        <s v="Adelanto Facu 1" u="1"/>
        <s v="Ecotermo 70 lts Casa Melas" u="1"/>
        <s v="Columnas Guayubira 6x6" u="1"/>
        <s v="Cantoneras cinta Durlock" u="1"/>
        <s v="Vanitory" u="1"/>
        <s v="Flete columnas" u="1"/>
        <s v="Bisagras y pasador termotanque" u="1"/>
        <s v="Molduras y lijas" u="1"/>
        <s v="Adelanto durlero 2 " u="1"/>
        <s v="Bacha Jhonson" u="1"/>
        <s v="Expresso vanitory" u="1"/>
        <s v="Final mano de obra Facu" u="1"/>
        <s v="Piso SPC y zocalos" u="1"/>
        <s v="Ceramica cocina" u="1"/>
        <s v="Chapas policarbonato" u="1"/>
        <s v="Final Zingueria" u="1"/>
        <s v="Segunda bañera" u="1"/>
        <s v="Comision pisos" u="1"/>
        <s v="Tabla umbral puerta" u="1"/>
        <s v="Laca Kekol" u="1"/>
        <s v="Ceramica baño" u="1"/>
        <s v="Silicona" u="1"/>
        <s v="Pegamento Ceramica" u="1"/>
        <s v="Fletes Chapas Policarbonato" u="1"/>
        <s v="Extra comidas" u="1"/>
        <s v="Tobias x dos meses" u="1"/>
        <s v="Zingueria final" u="1"/>
        <s v="Chocla y otros" u="1"/>
        <s v="Regaton" u="1"/>
        <s v="Teclas y tomas" u="1"/>
        <s v="Caja de Subway" u="1"/>
        <s v="Reparacion Taladro Milwakee" u="1"/>
        <s v="Chiquito Fletes" u="1"/>
        <s v="Fletes" u="1"/>
        <s v="Deuda ART" u="1"/>
        <s v="Alvar Liquidación Final" u="1"/>
        <s v="Pagina Web" u="1"/>
        <s v="Tobias x dos meses y deuda" u="1"/>
        <s v="Alvar x 3 dias" u="1"/>
        <s v="Ganancia" u="1"/>
      </sharedItems>
    </cacheField>
    <cacheField name="Informe" numFmtId="0">
      <sharedItems containsBlank="1" count="33">
        <m/>
        <s v="Dolares"/>
        <s v="Viaticos"/>
        <s v="Fijaciones"/>
        <s v="Pago inicial" u="1"/>
        <s v="Aberturas" u="1"/>
        <s v="Herramientas" u="1"/>
        <s v="Comida" u="1"/>
        <s v="Base" u="1"/>
        <s v="Publicidad" u="1"/>
        <s v="Varios" u="1"/>
        <s v="Revest Int" u="1"/>
        <s v="Zingueria" u="1"/>
        <s v="Aislantes" u="1"/>
        <s v="Estructura" u="1"/>
        <s v="Techo" u="1"/>
        <s v="Fletes" u="1"/>
        <s v="Revest Ext" u="1"/>
        <s v="Agua" u="1"/>
        <s v="Gas" u="1"/>
        <s v="Empleado" u="1"/>
        <s v="Galeria" u="1"/>
        <s v="Piso" u="1"/>
        <s v="Electricidad" u="1"/>
        <s v="Pintura" u="1"/>
        <s v="Muebles" u="1"/>
        <s v="Arqueo de caja" u="1"/>
        <s v="Bases" u="1"/>
        <s v="Caja" u="1"/>
        <s v="AjusteCaja" u="1"/>
        <s v="Otros" u="1"/>
        <s v="estimado" u="1"/>
        <s v="Ganancia" u="1"/>
      </sharedItems>
    </cacheField>
    <cacheField name="Dólar" numFmtId="0">
      <sharedItems containsString="0" containsBlank="1" containsNumber="1" containsInteger="1" minValue="1400" maxValue="1520"/>
    </cacheField>
    <cacheField name="Ingresa" numFmtId="43">
      <sharedItems containsString="0" containsBlank="1" containsNumber="1" containsInteger="1" minValue="0" maxValue="15200000"/>
    </cacheField>
    <cacheField name="Sale" numFmtId="43">
      <sharedItems containsString="0" containsBlank="1" containsNumber="1" containsInteger="1" minValue="0" maxValue="9120000"/>
    </cacheField>
    <cacheField name="Saldo" numFmtId="43">
      <sharedItems containsString="0" containsBlank="1" containsNumber="1" containsInteger="1" minValue="88000" maxValue="15200000"/>
    </cacheField>
    <cacheField name="En dolares" numFmtId="43">
      <sharedItems containsString="0" containsBlank="1" containsNumber="1" minValue="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40">
  <r>
    <m/>
    <m/>
    <x v="0"/>
    <x v="0"/>
    <m/>
    <n v="0"/>
    <n v="0"/>
    <m/>
    <m/>
  </r>
  <r>
    <d v="2026-01-06T00:00:00"/>
    <m/>
    <x v="1"/>
    <x v="1"/>
    <n v="1520"/>
    <n v="15200000"/>
    <n v="0"/>
    <n v="15200000"/>
    <n v="0"/>
  </r>
  <r>
    <d v="2026-01-06T00:00:00"/>
    <n v="3300"/>
    <x v="2"/>
    <x v="1"/>
    <n v="1498"/>
    <m/>
    <n v="4943400"/>
    <n v="10256600"/>
    <n v="3300"/>
  </r>
  <r>
    <d v="2026-01-06T00:00:00"/>
    <n v="700"/>
    <x v="3"/>
    <x v="1"/>
    <n v="1498"/>
    <m/>
    <n v="1048600"/>
    <n v="9208000"/>
    <n v="700"/>
  </r>
  <r>
    <d v="2026-01-06T00:00:00"/>
    <n v="6000"/>
    <x v="4"/>
    <x v="1"/>
    <n v="1520"/>
    <m/>
    <n v="9120000"/>
    <n v="88000"/>
    <n v="6000"/>
  </r>
  <r>
    <d v="2026-02-11T00:00:00"/>
    <m/>
    <x v="5"/>
    <x v="0"/>
    <n v="1520"/>
    <n v="44000"/>
    <m/>
    <n v="132000"/>
    <n v="0"/>
  </r>
  <r>
    <d v="2026-02-11T00:00:00"/>
    <n v="300"/>
    <x v="6"/>
    <x v="1"/>
    <n v="1400"/>
    <n v="420000"/>
    <m/>
    <n v="552000"/>
    <n v="0"/>
  </r>
  <r>
    <d v="2026-02-12T00:00:00"/>
    <m/>
    <x v="7"/>
    <x v="2"/>
    <n v="1400"/>
    <m/>
    <n v="40000"/>
    <n v="512000"/>
    <n v="28.57142857142857"/>
  </r>
  <r>
    <d v="2026-02-12T00:00:00"/>
    <m/>
    <x v="8"/>
    <x v="2"/>
    <n v="1400"/>
    <m/>
    <n v="17000"/>
    <n v="495000"/>
    <n v="12.14285714285714"/>
  </r>
  <r>
    <d v="2026-02-12T00:00:00"/>
    <m/>
    <x v="8"/>
    <x v="2"/>
    <n v="1400"/>
    <m/>
    <n v="16000"/>
    <n v="479000"/>
    <n v="11.42857142857143"/>
  </r>
  <r>
    <d v="2026-02-12T00:00:00"/>
    <m/>
    <x v="9"/>
    <x v="2"/>
    <n v="1400"/>
    <m/>
    <n v="90000"/>
    <n v="389000"/>
    <n v="64.28571428571429"/>
  </r>
  <r>
    <d v="2026-02-12T00:00:00"/>
    <m/>
    <x v="8"/>
    <x v="2"/>
    <n v="1400"/>
    <m/>
    <n v="17250"/>
    <n v="371750"/>
    <n v="12.32142857142857"/>
  </r>
  <r>
    <d v="2026-02-12T00:00:00"/>
    <n v="800"/>
    <x v="10"/>
    <x v="1"/>
    <n v="1430"/>
    <n v="1144000"/>
    <m/>
    <n v="1515750"/>
    <n v="0"/>
  </r>
  <r>
    <d v="2026-02-12T00:00:00"/>
    <m/>
    <x v="11"/>
    <x v="3"/>
    <n v="1430"/>
    <m/>
    <n v="1252000"/>
    <n v="263750"/>
    <n v="875.5244755244755"/>
  </r>
  <r>
    <d v="2026-02-12T00:00:00"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n v="263750"/>
    <n v="0"/>
  </r>
  <r>
    <m/>
    <m/>
    <x v="0"/>
    <x v="0"/>
    <n v="1430"/>
    <m/>
    <m/>
    <m/>
    <n v="0"/>
  </r>
  <r>
    <m/>
    <m/>
    <x v="0"/>
    <x v="0"/>
    <n v="1430"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8" rowHeaderCaption="Rubro Gastos">
  <location ref="B2:D5" firstHeaderRow="0" firstDataRow="1" firstDataCol="1"/>
  <pivotFields count="9">
    <pivotField showAll="0"/>
    <pivotField showAll="0"/>
    <pivotField showAll="0"/>
    <pivotField axis="axisRow" showAll="0" sortType="descending">
      <items count="34">
        <item h="1" m="1" x="5"/>
        <item h="1" m="1" x="18"/>
        <item h="1" m="1" x="13"/>
        <item h="1" m="1" x="8"/>
        <item h="1" m="1" x="28"/>
        <item h="1" m="1" x="7"/>
        <item h="1" m="1" x="23"/>
        <item h="1" m="1" x="20"/>
        <item h="1" m="1" x="14"/>
        <item x="3"/>
        <item h="1" m="1" x="21"/>
        <item h="1" m="1" x="6"/>
        <item h="1" m="1" x="25"/>
        <item h="1" m="1" x="24"/>
        <item h="1" m="1" x="17"/>
        <item h="1" m="1" x="11"/>
        <item h="1" m="1" x="15"/>
        <item h="1" m="1" x="10"/>
        <item h="1" x="0"/>
        <item h="1" m="1" x="31"/>
        <item h="1" m="1" x="22"/>
        <item h="1" m="1" x="12"/>
        <item h="1" m="1" x="32"/>
        <item h="1" x="1"/>
        <item h="1" m="1" x="29"/>
        <item h="1" m="1" x="30"/>
        <item h="1" m="1" x="9"/>
        <item x="2"/>
        <item h="1" m="1" x="16"/>
        <item h="1" m="1" x="27"/>
        <item h="1" m="1" x="19"/>
        <item h="1" m="1" x="26"/>
        <item h="1"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3" showAll="0"/>
    <pivotField dataField="1" numFmtId="43" showAll="0"/>
  </pivotFields>
  <rowFields count="1">
    <field x="3"/>
  </rowFields>
  <rowItems count="3">
    <i>
      <x v="9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Dolares" fld="8" baseField="5" baseItem="0" numFmtId="43"/>
    <dataField name="Porcentaje" fld="8" showDataAs="percentOfTotal" baseField="5" baseItem="0" numFmtId="10"/>
  </dataFields>
  <formats count="5">
    <format dxfId="4">
      <pivotArea dataOnly="0" labelOnly="1" outline="0" axis="axisValues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" firstHeaderRow="1" firstDataRow="1" firstDataCol="1"/>
  <pivotFields count="9">
    <pivotField showAll="0"/>
    <pivotField dataField="1" showAll="0"/>
    <pivotField axis="axisRow" showAll="0">
      <items count="299">
        <item m="1" x="224"/>
        <item m="1" x="247"/>
        <item m="1" x="196"/>
        <item m="1" x="225"/>
        <item m="1" x="266"/>
        <item m="1" x="258"/>
        <item m="1" x="221"/>
        <item m="1" x="253"/>
        <item m="1" x="255"/>
        <item m="1" x="230"/>
        <item m="1" x="296"/>
        <item m="1" x="236"/>
        <item m="1" x="264"/>
        <item m="1" x="261"/>
        <item m="1" x="226"/>
        <item m="1" x="237"/>
        <item m="1" x="233"/>
        <item m="1" x="243"/>
        <item m="1" x="197"/>
        <item m="1" x="216"/>
        <item m="1" x="222"/>
        <item m="1" x="260"/>
        <item x="9"/>
        <item m="1" x="227"/>
        <item m="1" x="213"/>
        <item m="1" x="228"/>
        <item m="1" x="198"/>
        <item m="1" x="240"/>
        <item m="1" x="259"/>
        <item m="1" x="256"/>
        <item m="1" x="223"/>
        <item m="1" x="263"/>
        <item m="1" x="207"/>
        <item m="1" x="122"/>
        <item m="1" x="141"/>
        <item m="1" x="143"/>
        <item m="1" x="241"/>
        <item m="1" x="140"/>
        <item m="1" x="246"/>
        <item m="1" x="212"/>
        <item m="1" x="239"/>
        <item m="1" x="214"/>
        <item m="1" x="265"/>
        <item m="1" x="244"/>
        <item m="1" x="210"/>
        <item m="1" x="211"/>
        <item m="1" x="257"/>
        <item m="1" x="250"/>
        <item m="1" x="133"/>
        <item m="1" x="248"/>
        <item m="1" x="249"/>
        <item m="1" x="254"/>
        <item m="1" x="231"/>
        <item m="1" x="206"/>
        <item m="1" x="204"/>
        <item m="1" x="205"/>
        <item m="1" x="203"/>
        <item m="1" x="202"/>
        <item m="1" x="199"/>
        <item m="1" x="200"/>
        <item m="1" x="201"/>
        <item m="1" x="208"/>
        <item m="1" x="252"/>
        <item m="1" x="235"/>
        <item m="1" x="242"/>
        <item m="1" x="262"/>
        <item m="1" x="220"/>
        <item m="1" x="217"/>
        <item m="1" x="251"/>
        <item m="1" x="238"/>
        <item m="1" x="245"/>
        <item m="1" x="229"/>
        <item m="1" x="195"/>
        <item m="1" x="218"/>
        <item m="1" x="219"/>
        <item m="1" x="232"/>
        <item m="1" x="215"/>
        <item m="1" x="209"/>
        <item m="1" x="234"/>
        <item m="1" x="29"/>
        <item x="0"/>
        <item m="1" x="191"/>
        <item m="1" x="267"/>
        <item m="1" x="63"/>
        <item m="1" x="268"/>
        <item m="1" x="121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170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94"/>
        <item m="1" x="289"/>
        <item m="1" x="290"/>
        <item m="1" x="291"/>
        <item m="1" x="295"/>
        <item m="1" x="293"/>
        <item m="1" x="292"/>
        <item m="1" x="297"/>
        <item m="1" x="294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30"/>
        <item m="1" x="31"/>
        <item m="1" x="32"/>
        <item m="1" x="33"/>
        <item m="1" x="34"/>
        <item x="8"/>
        <item x="7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194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x="11"/>
        <item m="1" x="91"/>
        <item m="1" x="92"/>
        <item m="1" x="93"/>
        <item m="1" x="95"/>
        <item m="1" x="96"/>
        <item m="1" x="97"/>
        <item m="1" x="98"/>
        <item m="1" x="99"/>
        <item m="1" x="101"/>
        <item m="1" x="102"/>
        <item m="1" x="103"/>
        <item m="1" x="104"/>
        <item m="1" x="105"/>
        <item m="1" x="106"/>
        <item m="1" x="193"/>
        <item m="1" x="108"/>
        <item m="1" x="109"/>
        <item m="1" x="110"/>
        <item m="1" x="111"/>
        <item m="1" x="113"/>
        <item m="1" x="114"/>
        <item m="1" x="115"/>
        <item m="1" x="116"/>
        <item m="1" x="117"/>
        <item m="1" x="118"/>
        <item m="1" x="112"/>
        <item m="1" x="120"/>
        <item m="1" x="123"/>
        <item m="1" x="124"/>
        <item m="1" x="125"/>
        <item m="1" x="126"/>
        <item m="1" x="100"/>
        <item m="1" x="107"/>
        <item m="1" x="119"/>
        <item m="1" x="127"/>
        <item m="1" x="129"/>
        <item m="1" x="130"/>
        <item m="1" x="132"/>
        <item m="1" x="134"/>
        <item m="1" x="135"/>
        <item m="1" x="136"/>
        <item m="1" x="137"/>
        <item m="1" x="138"/>
        <item m="1" x="139"/>
        <item m="1" x="142"/>
        <item m="1" x="144"/>
        <item m="1" x="145"/>
        <item m="1" x="148"/>
        <item m="1" x="149"/>
        <item m="1" x="150"/>
        <item m="1" x="151"/>
        <item m="1" x="152"/>
        <item m="1" x="153"/>
        <item m="1" x="154"/>
        <item m="1" x="156"/>
        <item m="1" x="157"/>
        <item m="1" x="158"/>
        <item m="1" x="159"/>
        <item m="1" x="160"/>
        <item m="1" x="161"/>
        <item m="1" x="163"/>
        <item m="1" x="164"/>
        <item m="1" x="165"/>
        <item m="1" x="128"/>
        <item m="1" x="131"/>
        <item m="1" x="146"/>
        <item m="1" x="147"/>
        <item m="1" x="155"/>
        <item m="1" x="162"/>
        <item m="1" x="166"/>
        <item m="1" x="167"/>
        <item m="1" x="168"/>
        <item m="1" x="169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2"/>
        <item m="1" x="190"/>
        <item x="1"/>
        <item m="1" x="12"/>
        <item x="2"/>
        <item x="3"/>
        <item x="4"/>
        <item x="5"/>
        <item x="6"/>
        <item x="10"/>
        <item t="default"/>
      </items>
    </pivotField>
    <pivotField showAll="0"/>
    <pivotField showAll="0"/>
    <pivotField showAll="0"/>
    <pivotField showAll="0"/>
    <pivotField numFmtId="43" showAll="0"/>
    <pivotField numFmtId="43" showAll="0"/>
  </pivotFields>
  <rowFields count="1">
    <field x="2"/>
  </rowFields>
  <rowItems count="1">
    <i t="grand">
      <x/>
    </i>
  </rowItems>
  <colItems count="1">
    <i/>
  </colItems>
  <dataFields count="1">
    <dataField name="Suma de Cant" fld="1" baseField="0" baseItem="0"/>
  </dataFields>
  <pivotTableStyleInfo name="PivotStyleLight16" showRowHeaders="1" showColHeaders="1" showRowStripes="0" showColStripes="0" showLastColumn="1"/>
  <filters count="1">
    <filter fld="2" type="captionBeginsWith" evalOrder="-1" id="1" stringValue1="Alvar">
      <autoFilter ref="A1">
        <filterColumn colId="0">
          <customFilters>
            <customFilter val="Alvar*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G4" firstHeaderRow="0" firstDataRow="1" firstDataCol="1"/>
  <pivotFields count="9">
    <pivotField showAll="0"/>
    <pivotField showAll="0"/>
    <pivotField axis="axisRow" showAll="0">
      <items count="299">
        <item m="1" x="224"/>
        <item m="1" x="247"/>
        <item m="1" x="196"/>
        <item m="1" x="225"/>
        <item m="1" x="266"/>
        <item m="1" x="258"/>
        <item m="1" x="221"/>
        <item m="1" x="253"/>
        <item m="1" x="255"/>
        <item m="1" x="230"/>
        <item m="1" x="296"/>
        <item m="1" x="236"/>
        <item m="1" x="264"/>
        <item m="1" x="261"/>
        <item m="1" x="226"/>
        <item m="1" x="237"/>
        <item m="1" x="233"/>
        <item m="1" x="243"/>
        <item m="1" x="197"/>
        <item m="1" x="216"/>
        <item m="1" x="222"/>
        <item m="1" x="260"/>
        <item x="9"/>
        <item m="1" x="227"/>
        <item m="1" x="213"/>
        <item m="1" x="228"/>
        <item m="1" x="198"/>
        <item m="1" x="240"/>
        <item m="1" x="259"/>
        <item m="1" x="256"/>
        <item m="1" x="223"/>
        <item m="1" x="263"/>
        <item m="1" x="207"/>
        <item m="1" x="122"/>
        <item m="1" x="141"/>
        <item m="1" x="143"/>
        <item m="1" x="241"/>
        <item m="1" x="140"/>
        <item m="1" x="246"/>
        <item m="1" x="212"/>
        <item m="1" x="239"/>
        <item m="1" x="214"/>
        <item m="1" x="265"/>
        <item m="1" x="244"/>
        <item m="1" x="210"/>
        <item m="1" x="211"/>
        <item m="1" x="257"/>
        <item m="1" x="250"/>
        <item m="1" x="133"/>
        <item m="1" x="248"/>
        <item m="1" x="249"/>
        <item m="1" x="254"/>
        <item m="1" x="231"/>
        <item m="1" x="206"/>
        <item m="1" x="204"/>
        <item m="1" x="205"/>
        <item m="1" x="203"/>
        <item m="1" x="202"/>
        <item m="1" x="199"/>
        <item m="1" x="200"/>
        <item m="1" x="201"/>
        <item m="1" x="208"/>
        <item m="1" x="252"/>
        <item m="1" x="235"/>
        <item m="1" x="242"/>
        <item m="1" x="262"/>
        <item m="1" x="220"/>
        <item m="1" x="217"/>
        <item m="1" x="251"/>
        <item m="1" x="238"/>
        <item m="1" x="245"/>
        <item m="1" x="229"/>
        <item m="1" x="195"/>
        <item m="1" x="218"/>
        <item m="1" x="219"/>
        <item m="1" x="232"/>
        <item m="1" x="215"/>
        <item m="1" x="209"/>
        <item m="1" x="234"/>
        <item m="1" x="29"/>
        <item x="0"/>
        <item m="1" x="191"/>
        <item m="1" x="267"/>
        <item m="1" x="63"/>
        <item m="1" x="268"/>
        <item m="1" x="121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170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94"/>
        <item m="1" x="289"/>
        <item m="1" x="290"/>
        <item m="1" x="291"/>
        <item m="1" x="295"/>
        <item m="1" x="293"/>
        <item m="1" x="292"/>
        <item m="1" x="297"/>
        <item m="1" x="294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30"/>
        <item m="1" x="31"/>
        <item m="1" x="32"/>
        <item m="1" x="33"/>
        <item m="1" x="34"/>
        <item x="8"/>
        <item x="7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194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x="11"/>
        <item m="1" x="91"/>
        <item m="1" x="92"/>
        <item m="1" x="93"/>
        <item m="1" x="95"/>
        <item m="1" x="96"/>
        <item m="1" x="97"/>
        <item m="1" x="98"/>
        <item m="1" x="99"/>
        <item m="1" x="101"/>
        <item m="1" x="102"/>
        <item m="1" x="103"/>
        <item m="1" x="104"/>
        <item m="1" x="105"/>
        <item m="1" x="106"/>
        <item m="1" x="193"/>
        <item m="1" x="108"/>
        <item m="1" x="109"/>
        <item m="1" x="110"/>
        <item m="1" x="111"/>
        <item m="1" x="113"/>
        <item m="1" x="114"/>
        <item m="1" x="115"/>
        <item m="1" x="116"/>
        <item m="1" x="117"/>
        <item m="1" x="118"/>
        <item m="1" x="112"/>
        <item m="1" x="120"/>
        <item m="1" x="123"/>
        <item m="1" x="124"/>
        <item m="1" x="125"/>
        <item m="1" x="126"/>
        <item m="1" x="100"/>
        <item m="1" x="107"/>
        <item m="1" x="119"/>
        <item m="1" x="127"/>
        <item m="1" x="129"/>
        <item m="1" x="130"/>
        <item m="1" x="132"/>
        <item m="1" x="134"/>
        <item m="1" x="135"/>
        <item m="1" x="136"/>
        <item m="1" x="137"/>
        <item m="1" x="138"/>
        <item m="1" x="139"/>
        <item m="1" x="142"/>
        <item m="1" x="144"/>
        <item m="1" x="145"/>
        <item m="1" x="148"/>
        <item m="1" x="149"/>
        <item m="1" x="150"/>
        <item m="1" x="151"/>
        <item m="1" x="152"/>
        <item m="1" x="153"/>
        <item m="1" x="154"/>
        <item m="1" x="156"/>
        <item m="1" x="157"/>
        <item m="1" x="158"/>
        <item m="1" x="159"/>
        <item m="1" x="160"/>
        <item m="1" x="161"/>
        <item m="1" x="163"/>
        <item m="1" x="164"/>
        <item m="1" x="165"/>
        <item m="1" x="128"/>
        <item m="1" x="131"/>
        <item m="1" x="146"/>
        <item m="1" x="147"/>
        <item m="1" x="155"/>
        <item m="1" x="162"/>
        <item m="1" x="166"/>
        <item m="1" x="167"/>
        <item m="1" x="168"/>
        <item m="1" x="169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2"/>
        <item m="1" x="190"/>
        <item x="1"/>
        <item m="1" x="12"/>
        <item x="2"/>
        <item x="3"/>
        <item x="4"/>
        <item x="5"/>
        <item x="6"/>
        <item x="10"/>
        <item t="default"/>
      </items>
    </pivotField>
    <pivotField showAll="0"/>
    <pivotField dataField="1" showAll="0"/>
    <pivotField showAll="0"/>
    <pivotField showAll="0"/>
    <pivotField dataField="1" numFmtId="43" showAll="0"/>
    <pivotField numFmtId="43" showAll="0"/>
  </pivotFields>
  <rowFields count="1">
    <field x="2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Sal" fld="7" baseField="2" baseItem="0"/>
    <dataField name="Dol" fld="4" baseField="0" baseItem="0"/>
  </dataFields>
  <pivotTableStyleInfo name="PivotStyleLight16" showRowHeaders="1" showColHeaders="1" showRowStripes="0" showColStripes="0" showLastColumn="1"/>
  <filters count="1">
    <filter fld="2" type="captionEqual" evalOrder="-1" id="1" stringValue1="Saldo">
      <autoFilter ref="A1">
        <filterColumn colId="0">
          <filters>
            <filter val="Saldo"/>
          </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stos" displayName="Gastos" ref="B1:L242" totalsRowShown="0" headerRowDxfId="16" dataDxfId="14" headerRowBorderDxfId="15" tableBorderDxfId="13" dataCellStyle="Millares">
  <autoFilter ref="B1:L242" xr:uid="{00000000-0009-0000-0100-000001000000}"/>
  <tableColumns count="11">
    <tableColumn id="4" xr3:uid="{00000000-0010-0000-0000-000004000000}" name="PK" dataDxfId="12" dataCellStyle="Millares"/>
    <tableColumn id="1" xr3:uid="{00000000-0010-0000-0000-000001000000}" name="Fecha" dataDxfId="11"/>
    <tableColumn id="2" xr3:uid="{00000000-0010-0000-0000-000002000000}" name="Cant"/>
    <tableColumn id="3" xr3:uid="{00000000-0010-0000-0000-000003000000}" name="Detalle"/>
    <tableColumn id="11" xr3:uid="{00000000-0010-0000-0000-00000B000000}" name="Rubro" dataDxfId="10"/>
    <tableColumn id="6" xr3:uid="{00000000-0010-0000-0000-000006000000}" name="Dólar">
      <calculatedColumnFormula>G1</calculatedColumnFormula>
    </tableColumn>
    <tableColumn id="7" xr3:uid="{00000000-0010-0000-0000-000007000000}" name="Ingresa" dataDxfId="9" dataCellStyle="Millares">
      <calculatedColumnFormula>15200000</calculatedColumnFormula>
    </tableColumn>
    <tableColumn id="8" xr3:uid="{00000000-0010-0000-0000-000008000000}" name="Sale" dataDxfId="8" dataCellStyle="Millares"/>
    <tableColumn id="9" xr3:uid="{00000000-0010-0000-0000-000009000000}" name="0" dataDxfId="7" dataCellStyle="Millares">
      <calculatedColumnFormula>J1+Gastos[[#This Row],[Ingresa]]-Gastos[[#This Row],[Sale]]</calculatedColumnFormula>
    </tableColumn>
    <tableColumn id="10" xr3:uid="{00000000-0010-0000-0000-00000A000000}" name="En dolares" dataDxfId="6" dataCellStyle="Millares">
      <calculatedColumnFormula>I2/G2</calculatedColumnFormula>
    </tableColumn>
    <tableColumn id="5" xr3:uid="{00000000-0010-0000-0000-000005000000}" name="Autor" dataDxfId="5" dataCellStyle="Millar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6"/>
  <sheetViews>
    <sheetView showGridLines="0" tabSelected="1" topLeftCell="P12" zoomScaleNormal="60" zoomScaleSheetLayoutView="100" workbookViewId="0">
      <selection activeCell="R19" sqref="R19"/>
    </sheetView>
  </sheetViews>
  <sheetFormatPr baseColWidth="10" defaultColWidth="9.140625" defaultRowHeight="15" x14ac:dyDescent="0.25"/>
  <cols>
    <col min="1" max="1" width="3.28515625" customWidth="1"/>
    <col min="2" max="2" width="5.42578125" customWidth="1"/>
    <col min="3" max="3" width="11.28515625" customWidth="1"/>
    <col min="4" max="4" width="10.5703125" bestFit="1" customWidth="1"/>
    <col min="5" max="5" width="29.28515625" bestFit="1" customWidth="1"/>
    <col min="6" max="6" width="14" style="1" customWidth="1"/>
    <col min="7" max="7" width="12.140625" customWidth="1"/>
    <col min="8" max="10" width="16" customWidth="1"/>
    <col min="11" max="11" width="14.7109375" bestFit="1" customWidth="1"/>
    <col min="12" max="12" width="12" style="1" customWidth="1"/>
    <col min="13" max="13" width="14" customWidth="1"/>
    <col min="14" max="14" width="4" customWidth="1"/>
    <col min="15" max="15" width="14.28515625" customWidth="1"/>
    <col min="16" max="16" width="26.42578125" bestFit="1" customWidth="1"/>
    <col min="17" max="21" width="14" customWidth="1"/>
  </cols>
  <sheetData>
    <row r="1" spans="2:23" x14ac:dyDescent="0.25"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34" t="s">
        <v>10</v>
      </c>
      <c r="M1" s="36">
        <f>J242</f>
        <v>549171.00000000093</v>
      </c>
      <c r="N1" s="35" t="s">
        <v>0</v>
      </c>
      <c r="O1" s="35" t="s">
        <v>1</v>
      </c>
      <c r="P1" s="4" t="s">
        <v>3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</row>
    <row r="2" spans="2:23" x14ac:dyDescent="0.25">
      <c r="B2" s="32">
        <v>1</v>
      </c>
      <c r="C2" s="6">
        <v>46028</v>
      </c>
      <c r="E2" t="s">
        <v>16</v>
      </c>
      <c r="F2" s="1" t="s">
        <v>17</v>
      </c>
      <c r="G2">
        <v>1520</v>
      </c>
      <c r="H2" s="2">
        <f>15200000</f>
        <v>15200000</v>
      </c>
      <c r="I2" s="2">
        <v>0</v>
      </c>
      <c r="J2" s="2">
        <f>J1+Gastos[[#This Row],[Ingresa]]-Gastos[[#This Row],[Sale]]</f>
        <v>15200000</v>
      </c>
      <c r="K2" s="14">
        <f>Gastos[[#This Row],[Sale]]/Gastos[[#This Row],[Dólar]]</f>
        <v>0</v>
      </c>
      <c r="L2" s="2"/>
      <c r="M2" s="37">
        <f>Q39</f>
        <v>3500</v>
      </c>
      <c r="N2" s="39">
        <v>1</v>
      </c>
      <c r="O2" s="8">
        <v>46028</v>
      </c>
      <c r="P2" s="9" t="s">
        <v>18</v>
      </c>
      <c r="Q2" s="2">
        <f t="shared" ref="Q2:Q39" si="0">S2+U2</f>
        <v>6000</v>
      </c>
      <c r="R2" s="10"/>
      <c r="S2" s="2">
        <f>R2</f>
        <v>0</v>
      </c>
      <c r="T2" s="10">
        <v>6000</v>
      </c>
      <c r="U2" s="2">
        <f>T2</f>
        <v>6000</v>
      </c>
      <c r="W2" s="3"/>
    </row>
    <row r="3" spans="2:23" x14ac:dyDescent="0.25">
      <c r="B3" s="32">
        <v>2</v>
      </c>
      <c r="C3" s="6">
        <v>46028</v>
      </c>
      <c r="D3">
        <v>3300</v>
      </c>
      <c r="E3" t="s">
        <v>19</v>
      </c>
      <c r="F3" s="1" t="s">
        <v>17</v>
      </c>
      <c r="G3">
        <v>1498</v>
      </c>
      <c r="H3" s="2"/>
      <c r="I3" s="2">
        <f>Gastos[[#This Row],[Cant]]*Gastos[[#This Row],[Dólar]]</f>
        <v>4943400</v>
      </c>
      <c r="J3" s="2">
        <f>J2+Gastos[[#This Row],[Ingresa]]-Gastos[[#This Row],[Sale]]</f>
        <v>10256600</v>
      </c>
      <c r="K3" s="14">
        <f>Gastos[[#This Row],[Sale]]/Gastos[[#This Row],[Dólar]]</f>
        <v>3300</v>
      </c>
      <c r="L3" s="2"/>
      <c r="N3" s="39">
        <v>2</v>
      </c>
      <c r="O3" s="8">
        <v>46028</v>
      </c>
      <c r="P3" s="9" t="s">
        <v>20</v>
      </c>
      <c r="Q3" s="2">
        <f t="shared" si="0"/>
        <v>9300</v>
      </c>
      <c r="R3" s="10"/>
      <c r="S3" s="2">
        <f t="shared" ref="S3:S39" si="1">S2+R3</f>
        <v>0</v>
      </c>
      <c r="T3" s="10">
        <v>3300</v>
      </c>
      <c r="U3" s="2">
        <f t="shared" ref="U3:U39" si="2">U2+T3</f>
        <v>9300</v>
      </c>
      <c r="W3" s="3"/>
    </row>
    <row r="4" spans="2:23" x14ac:dyDescent="0.25">
      <c r="B4" s="32">
        <v>3</v>
      </c>
      <c r="C4" s="6">
        <v>46028</v>
      </c>
      <c r="D4">
        <v>700</v>
      </c>
      <c r="E4" t="s">
        <v>21</v>
      </c>
      <c r="F4" s="1" t="s">
        <v>17</v>
      </c>
      <c r="G4">
        <v>1498</v>
      </c>
      <c r="H4" s="2"/>
      <c r="I4" s="2">
        <f>Gastos[[#This Row],[Cant]]*Gastos[[#This Row],[Dólar]]</f>
        <v>1048600</v>
      </c>
      <c r="J4" s="2">
        <f>J3+Gastos[[#This Row],[Ingresa]]-Gastos[[#This Row],[Sale]]</f>
        <v>9208000</v>
      </c>
      <c r="K4" s="14">
        <f>Gastos[[#This Row],[Sale]]/Gastos[[#This Row],[Dólar]]</f>
        <v>700</v>
      </c>
      <c r="L4" s="2"/>
      <c r="N4" s="39">
        <v>3</v>
      </c>
      <c r="O4" s="8">
        <v>46028</v>
      </c>
      <c r="P4" s="9" t="s">
        <v>22</v>
      </c>
      <c r="Q4" s="2">
        <f t="shared" si="0"/>
        <v>10000</v>
      </c>
      <c r="R4" s="10">
        <v>700</v>
      </c>
      <c r="S4" s="2">
        <f t="shared" si="1"/>
        <v>700</v>
      </c>
      <c r="T4" s="10"/>
      <c r="U4" s="2">
        <f t="shared" si="2"/>
        <v>9300</v>
      </c>
    </row>
    <row r="5" spans="2:23" x14ac:dyDescent="0.25">
      <c r="B5" s="32">
        <v>4</v>
      </c>
      <c r="C5" s="6">
        <v>46028</v>
      </c>
      <c r="D5">
        <v>6000</v>
      </c>
      <c r="E5" t="s">
        <v>23</v>
      </c>
      <c r="F5" s="1" t="s">
        <v>17</v>
      </c>
      <c r="G5">
        <v>1520</v>
      </c>
      <c r="H5" s="2"/>
      <c r="I5" s="2">
        <f>Gastos[[#This Row],[Cant]]*Gastos[[#This Row],[Dólar]]</f>
        <v>9120000</v>
      </c>
      <c r="J5" s="2">
        <f>J4+Gastos[[#This Row],[Ingresa]]-Gastos[[#This Row],[Sale]]</f>
        <v>88000</v>
      </c>
      <c r="K5" s="14">
        <f>Gastos[[#This Row],[Sale]]/Gastos[[#This Row],[Dólar]]</f>
        <v>6000</v>
      </c>
      <c r="L5" s="2"/>
      <c r="N5" s="39">
        <v>4</v>
      </c>
      <c r="O5" s="8">
        <v>46064</v>
      </c>
      <c r="P5" s="9" t="s">
        <v>24</v>
      </c>
      <c r="Q5" s="2">
        <f t="shared" si="0"/>
        <v>9700</v>
      </c>
      <c r="R5" s="10">
        <v>-300</v>
      </c>
      <c r="S5" s="2">
        <f t="shared" si="1"/>
        <v>400</v>
      </c>
      <c r="T5" s="10"/>
      <c r="U5" s="2">
        <f t="shared" si="2"/>
        <v>9300</v>
      </c>
    </row>
    <row r="6" spans="2:23" x14ac:dyDescent="0.25">
      <c r="B6" s="32">
        <v>5</v>
      </c>
      <c r="C6" s="6">
        <v>46064</v>
      </c>
      <c r="E6" t="s">
        <v>25</v>
      </c>
      <c r="G6">
        <f>G5</f>
        <v>1520</v>
      </c>
      <c r="H6" s="2">
        <v>44000</v>
      </c>
      <c r="I6" s="2"/>
      <c r="J6" s="2">
        <f>J5+Gastos[[#This Row],[Ingresa]]-Gastos[[#This Row],[Sale]]</f>
        <v>132000</v>
      </c>
      <c r="K6" s="14">
        <f>Gastos[[#This Row],[Sale]]/Gastos[[#This Row],[Dólar]]</f>
        <v>0</v>
      </c>
      <c r="L6" s="2"/>
      <c r="N6" s="39">
        <v>5</v>
      </c>
      <c r="O6" s="8">
        <v>46065</v>
      </c>
      <c r="P6" s="9" t="s">
        <v>26</v>
      </c>
      <c r="Q6" s="2">
        <f t="shared" si="0"/>
        <v>9500</v>
      </c>
      <c r="R6" s="10"/>
      <c r="S6" s="2">
        <f t="shared" si="1"/>
        <v>400</v>
      </c>
      <c r="T6" s="10">
        <v>-200</v>
      </c>
      <c r="U6" s="2">
        <f t="shared" si="2"/>
        <v>9100</v>
      </c>
    </row>
    <row r="7" spans="2:23" x14ac:dyDescent="0.25">
      <c r="B7" s="32">
        <v>6</v>
      </c>
      <c r="C7" s="6">
        <v>46064</v>
      </c>
      <c r="D7">
        <v>300</v>
      </c>
      <c r="E7" t="s">
        <v>27</v>
      </c>
      <c r="F7" s="1" t="s">
        <v>17</v>
      </c>
      <c r="G7">
        <v>1400</v>
      </c>
      <c r="H7" s="2">
        <f>Gastos[[#This Row],[Cant]]*Gastos[[#This Row],[Dólar]]</f>
        <v>420000</v>
      </c>
      <c r="I7" s="2"/>
      <c r="J7" s="2">
        <f>J6+Gastos[[#This Row],[Ingresa]]-Gastos[[#This Row],[Sale]]</f>
        <v>552000</v>
      </c>
      <c r="K7" s="14">
        <f>Gastos[[#This Row],[Sale]]/Gastos[[#This Row],[Dólar]]</f>
        <v>0</v>
      </c>
      <c r="L7" s="2"/>
      <c r="N7" s="39">
        <v>6</v>
      </c>
      <c r="O7" s="8">
        <v>46065</v>
      </c>
      <c r="P7" s="9" t="s">
        <v>26</v>
      </c>
      <c r="Q7" s="2">
        <f t="shared" si="0"/>
        <v>9700</v>
      </c>
      <c r="R7" s="10">
        <v>200</v>
      </c>
      <c r="S7" s="2">
        <f t="shared" si="1"/>
        <v>600</v>
      </c>
      <c r="T7" s="10"/>
      <c r="U7" s="2">
        <f t="shared" si="2"/>
        <v>9100</v>
      </c>
    </row>
    <row r="8" spans="2:23" x14ac:dyDescent="0.25">
      <c r="B8" s="32">
        <v>7</v>
      </c>
      <c r="C8" s="6">
        <v>46065</v>
      </c>
      <c r="E8" t="s">
        <v>28</v>
      </c>
      <c r="F8" s="1" t="s">
        <v>29</v>
      </c>
      <c r="G8">
        <f>G7</f>
        <v>1400</v>
      </c>
      <c r="H8" s="2"/>
      <c r="I8" s="2">
        <v>40000</v>
      </c>
      <c r="J8" s="2">
        <f>J7+Gastos[[#This Row],[Ingresa]]-Gastos[[#This Row],[Sale]]</f>
        <v>512000</v>
      </c>
      <c r="K8" s="14">
        <f>Gastos[[#This Row],[Sale]]/Gastos[[#This Row],[Dólar]]</f>
        <v>28.571428571428573</v>
      </c>
      <c r="L8" s="2"/>
      <c r="N8" s="39">
        <v>7</v>
      </c>
      <c r="O8" s="8">
        <v>46065</v>
      </c>
      <c r="P8" s="9" t="s">
        <v>30</v>
      </c>
      <c r="Q8" s="2">
        <f t="shared" si="0"/>
        <v>8900</v>
      </c>
      <c r="R8" s="10"/>
      <c r="S8" s="2">
        <f t="shared" si="1"/>
        <v>600</v>
      </c>
      <c r="T8" s="10">
        <v>-800</v>
      </c>
      <c r="U8" s="2">
        <f t="shared" si="2"/>
        <v>8300</v>
      </c>
    </row>
    <row r="9" spans="2:23" x14ac:dyDescent="0.25">
      <c r="B9" s="32">
        <v>8</v>
      </c>
      <c r="C9" s="6">
        <v>46065</v>
      </c>
      <c r="E9" t="s">
        <v>31</v>
      </c>
      <c r="F9" s="1" t="s">
        <v>29</v>
      </c>
      <c r="G9">
        <f>G8</f>
        <v>1400</v>
      </c>
      <c r="H9" s="2"/>
      <c r="I9" s="2">
        <v>17000</v>
      </c>
      <c r="J9" s="2">
        <f>J8+Gastos[[#This Row],[Ingresa]]-Gastos[[#This Row],[Sale]]</f>
        <v>495000</v>
      </c>
      <c r="K9" s="14">
        <f>Gastos[[#This Row],[Sale]]/Gastos[[#This Row],[Dólar]]</f>
        <v>12.142857142857142</v>
      </c>
      <c r="L9" s="2"/>
      <c r="N9" s="39">
        <v>8</v>
      </c>
      <c r="O9" s="8">
        <v>46065</v>
      </c>
      <c r="P9" s="9" t="s">
        <v>32</v>
      </c>
      <c r="Q9" s="2">
        <f t="shared" si="0"/>
        <v>21150</v>
      </c>
      <c r="R9" s="10"/>
      <c r="S9" s="2">
        <f t="shared" si="1"/>
        <v>600</v>
      </c>
      <c r="T9" s="10">
        <v>12250</v>
      </c>
      <c r="U9" s="2">
        <f t="shared" si="2"/>
        <v>20550</v>
      </c>
    </row>
    <row r="10" spans="2:23" x14ac:dyDescent="0.25">
      <c r="B10" s="32">
        <v>9</v>
      </c>
      <c r="C10" s="6">
        <v>46065</v>
      </c>
      <c r="E10" t="s">
        <v>31</v>
      </c>
      <c r="F10" s="1" t="s">
        <v>29</v>
      </c>
      <c r="G10">
        <f>G9</f>
        <v>1400</v>
      </c>
      <c r="H10" s="2"/>
      <c r="I10" s="2">
        <v>16000</v>
      </c>
      <c r="J10" s="2">
        <f>J9+Gastos[[#This Row],[Ingresa]]-Gastos[[#This Row],[Sale]]</f>
        <v>479000</v>
      </c>
      <c r="K10" s="14">
        <f>Gastos[[#This Row],[Sale]]/Gastos[[#This Row],[Dólar]]</f>
        <v>11.428571428571429</v>
      </c>
      <c r="L10" s="2"/>
      <c r="N10" s="39">
        <v>9</v>
      </c>
      <c r="O10" s="8">
        <v>46065</v>
      </c>
      <c r="P10" s="9" t="s">
        <v>33</v>
      </c>
      <c r="Q10" s="2">
        <f t="shared" si="0"/>
        <v>8900</v>
      </c>
      <c r="R10" s="10"/>
      <c r="S10" s="2">
        <f t="shared" si="1"/>
        <v>600</v>
      </c>
      <c r="T10" s="38">
        <v>-12250</v>
      </c>
      <c r="U10" s="2">
        <f t="shared" si="2"/>
        <v>8300</v>
      </c>
    </row>
    <row r="11" spans="2:23" x14ac:dyDescent="0.25">
      <c r="B11" s="32">
        <v>10</v>
      </c>
      <c r="C11" s="6">
        <v>46065</v>
      </c>
      <c r="D11" s="7"/>
      <c r="E11" t="s">
        <v>34</v>
      </c>
      <c r="F11" s="1" t="s">
        <v>29</v>
      </c>
      <c r="G11">
        <f>G10</f>
        <v>1400</v>
      </c>
      <c r="H11" s="2"/>
      <c r="I11" s="2">
        <v>90000</v>
      </c>
      <c r="J11" s="2">
        <f>J10+Gastos[[#This Row],[Ingresa]]-Gastos[[#This Row],[Sale]]</f>
        <v>389000</v>
      </c>
      <c r="K11" s="14">
        <f>Gastos[[#This Row],[Sale]]/Gastos[[#This Row],[Dólar]]</f>
        <v>64.285714285714292</v>
      </c>
      <c r="L11" s="2"/>
      <c r="N11" s="39">
        <v>10</v>
      </c>
      <c r="O11" s="8">
        <v>46066</v>
      </c>
      <c r="P11" s="9" t="s">
        <v>26</v>
      </c>
      <c r="Q11" s="2">
        <f t="shared" si="0"/>
        <v>7800</v>
      </c>
      <c r="R11" s="10"/>
      <c r="S11" s="2">
        <f t="shared" si="1"/>
        <v>600</v>
      </c>
      <c r="T11" s="10">
        <v>-1100</v>
      </c>
      <c r="U11" s="2">
        <f t="shared" si="2"/>
        <v>7200</v>
      </c>
    </row>
    <row r="12" spans="2:23" x14ac:dyDescent="0.25">
      <c r="B12" s="32">
        <v>11</v>
      </c>
      <c r="C12" s="6">
        <v>46065</v>
      </c>
      <c r="D12" s="7"/>
      <c r="E12" s="13" t="s">
        <v>31</v>
      </c>
      <c r="F12" s="1" t="s">
        <v>29</v>
      </c>
      <c r="G12">
        <f>G11</f>
        <v>1400</v>
      </c>
      <c r="H12" s="2"/>
      <c r="I12" s="2">
        <v>17250</v>
      </c>
      <c r="J12" s="2">
        <f>J11+Gastos[[#This Row],[Ingresa]]-Gastos[[#This Row],[Sale]]</f>
        <v>371750</v>
      </c>
      <c r="K12" s="14">
        <f>Gastos[[#This Row],[Sale]]/Gastos[[#This Row],[Dólar]]</f>
        <v>12.321428571428571</v>
      </c>
      <c r="L12" s="2"/>
      <c r="N12" s="39">
        <v>11</v>
      </c>
      <c r="O12" s="8">
        <v>46066</v>
      </c>
      <c r="P12" s="9" t="s">
        <v>26</v>
      </c>
      <c r="Q12" s="2">
        <f t="shared" si="0"/>
        <v>8900</v>
      </c>
      <c r="R12" s="10">
        <v>1100</v>
      </c>
      <c r="S12" s="2">
        <f t="shared" si="1"/>
        <v>1700</v>
      </c>
      <c r="T12" s="10"/>
      <c r="U12" s="2">
        <f t="shared" si="2"/>
        <v>7200</v>
      </c>
    </row>
    <row r="13" spans="2:23" x14ac:dyDescent="0.25">
      <c r="B13" s="32">
        <v>12</v>
      </c>
      <c r="C13" s="6">
        <v>46065</v>
      </c>
      <c r="D13" s="2">
        <v>12250.04</v>
      </c>
      <c r="E13" t="s">
        <v>35</v>
      </c>
      <c r="F13" s="1" t="s">
        <v>17</v>
      </c>
      <c r="G13">
        <v>1415</v>
      </c>
      <c r="H13" s="2">
        <f>Gastos[[#This Row],[Cant]]*Gastos[[#This Row],[Dólar]]</f>
        <v>17333806.600000001</v>
      </c>
      <c r="I13" s="2"/>
      <c r="J13" s="2">
        <f>J12+Gastos[[#This Row],[Ingresa]]-Gastos[[#This Row],[Sale]]</f>
        <v>17705556.600000001</v>
      </c>
      <c r="K13" s="2">
        <f>I13/G13</f>
        <v>0</v>
      </c>
      <c r="L13" s="2"/>
      <c r="N13" s="39">
        <v>12</v>
      </c>
      <c r="O13" s="8">
        <v>46066</v>
      </c>
      <c r="P13" s="9" t="s">
        <v>36</v>
      </c>
      <c r="Q13" s="2">
        <f t="shared" si="0"/>
        <v>8200</v>
      </c>
      <c r="R13" s="10">
        <v>-700</v>
      </c>
      <c r="S13" s="2">
        <f t="shared" si="1"/>
        <v>1000</v>
      </c>
      <c r="T13" s="10"/>
      <c r="U13" s="2">
        <f t="shared" si="2"/>
        <v>7200</v>
      </c>
    </row>
    <row r="14" spans="2:23" x14ac:dyDescent="0.25">
      <c r="B14" s="32">
        <v>13</v>
      </c>
      <c r="C14" s="6">
        <v>46065</v>
      </c>
      <c r="D14" s="2"/>
      <c r="E14" t="s">
        <v>37</v>
      </c>
      <c r="F14" s="1" t="s">
        <v>17</v>
      </c>
      <c r="G14">
        <f>G13</f>
        <v>1415</v>
      </c>
      <c r="H14" s="2">
        <f>17333801.12-H13</f>
        <v>-5.4800000004470348</v>
      </c>
      <c r="I14" s="2"/>
      <c r="J14" s="2">
        <f>J13+Gastos[[#This Row],[Ingresa]]-Gastos[[#This Row],[Sale]]</f>
        <v>17705551.120000001</v>
      </c>
      <c r="K14" s="2">
        <f>I14/G14</f>
        <v>0</v>
      </c>
      <c r="L14" s="2"/>
      <c r="N14" s="39">
        <v>13</v>
      </c>
      <c r="O14" s="8">
        <v>46080</v>
      </c>
      <c r="P14" s="9" t="s">
        <v>38</v>
      </c>
      <c r="Q14" s="2">
        <f t="shared" si="0"/>
        <v>7600</v>
      </c>
      <c r="R14" s="10">
        <v>-600</v>
      </c>
      <c r="S14" s="2">
        <f t="shared" si="1"/>
        <v>400</v>
      </c>
      <c r="T14" s="10"/>
      <c r="U14" s="2">
        <f t="shared" si="2"/>
        <v>7200</v>
      </c>
    </row>
    <row r="15" spans="2:23" x14ac:dyDescent="0.25">
      <c r="B15" s="32">
        <v>14</v>
      </c>
      <c r="C15" s="6">
        <v>46065</v>
      </c>
      <c r="D15">
        <f>56*200</f>
        <v>11200</v>
      </c>
      <c r="E15" t="s">
        <v>39</v>
      </c>
      <c r="F15" s="1" t="s">
        <v>40</v>
      </c>
      <c r="G15">
        <f>G14</f>
        <v>1415</v>
      </c>
      <c r="H15" s="2"/>
      <c r="I15" s="2">
        <v>485950.41</v>
      </c>
      <c r="J15" s="2">
        <f>J14+Gastos[[#This Row],[Ingresa]]-Gastos[[#This Row],[Sale]]</f>
        <v>17219600.710000001</v>
      </c>
      <c r="K15" s="14">
        <f>Gastos[[#This Row],[Sale]]/Gastos[[#This Row],[Dólar]]</f>
        <v>343.427851590106</v>
      </c>
      <c r="L15" s="2"/>
      <c r="N15" s="39">
        <v>14</v>
      </c>
      <c r="O15" s="8">
        <v>46090</v>
      </c>
      <c r="P15" s="9" t="s">
        <v>41</v>
      </c>
      <c r="Q15" s="2">
        <f t="shared" si="0"/>
        <v>6600</v>
      </c>
      <c r="R15" s="10"/>
      <c r="S15" s="2">
        <f t="shared" si="1"/>
        <v>400</v>
      </c>
      <c r="T15" s="10">
        <v>-1000</v>
      </c>
      <c r="U15" s="2">
        <f t="shared" si="2"/>
        <v>6200</v>
      </c>
    </row>
    <row r="16" spans="2:23" x14ac:dyDescent="0.25">
      <c r="B16" s="32">
        <v>15</v>
      </c>
      <c r="C16" s="6">
        <v>46065</v>
      </c>
      <c r="D16">
        <v>54</v>
      </c>
      <c r="E16" t="s">
        <v>42</v>
      </c>
      <c r="F16" s="1" t="s">
        <v>43</v>
      </c>
      <c r="G16">
        <f>G15</f>
        <v>1415</v>
      </c>
      <c r="H16" s="2"/>
      <c r="I16" s="2">
        <v>1001900.83</v>
      </c>
      <c r="J16" s="2">
        <f>J15+Gastos[[#This Row],[Ingresa]]-Gastos[[#This Row],[Sale]]</f>
        <v>16217699.880000001</v>
      </c>
      <c r="K16" s="14">
        <f>Gastos[[#This Row],[Sale]]/Gastos[[#This Row],[Dólar]]</f>
        <v>708.05712367491162</v>
      </c>
      <c r="L16" s="2"/>
      <c r="N16" s="39">
        <v>15</v>
      </c>
      <c r="O16" s="8">
        <v>46090</v>
      </c>
      <c r="P16" s="9" t="s">
        <v>44</v>
      </c>
      <c r="Q16" s="2">
        <f t="shared" si="0"/>
        <v>5600</v>
      </c>
      <c r="R16" s="10"/>
      <c r="S16" s="2">
        <f t="shared" si="1"/>
        <v>400</v>
      </c>
      <c r="T16" s="10">
        <v>-1000</v>
      </c>
      <c r="U16" s="2">
        <f t="shared" si="2"/>
        <v>5200</v>
      </c>
    </row>
    <row r="17" spans="2:21" x14ac:dyDescent="0.25">
      <c r="B17" s="32">
        <v>16</v>
      </c>
      <c r="C17" s="6">
        <v>46065</v>
      </c>
      <c r="D17">
        <v>18</v>
      </c>
      <c r="E17" t="s">
        <v>45</v>
      </c>
      <c r="F17" s="1" t="s">
        <v>46</v>
      </c>
      <c r="G17">
        <f>G15</f>
        <v>1415</v>
      </c>
      <c r="H17" s="2"/>
      <c r="I17" s="2">
        <v>1993388.43</v>
      </c>
      <c r="J17" s="2">
        <f>J16+Gastos[[#This Row],[Ingresa]]-Gastos[[#This Row],[Sale]]</f>
        <v>14224311.450000001</v>
      </c>
      <c r="K17" s="2">
        <f>I17/G17</f>
        <v>1408.7550742049471</v>
      </c>
      <c r="L17" s="2"/>
      <c r="N17" s="39">
        <v>16</v>
      </c>
      <c r="O17" s="8">
        <v>46090</v>
      </c>
      <c r="P17" s="9" t="s">
        <v>26</v>
      </c>
      <c r="Q17" s="2">
        <f t="shared" si="0"/>
        <v>5600</v>
      </c>
      <c r="R17" s="10">
        <v>3200</v>
      </c>
      <c r="S17" s="2">
        <f t="shared" si="1"/>
        <v>3600</v>
      </c>
      <c r="T17" s="10">
        <v>-3200</v>
      </c>
      <c r="U17" s="2">
        <f t="shared" si="2"/>
        <v>2000</v>
      </c>
    </row>
    <row r="18" spans="2:21" x14ac:dyDescent="0.25">
      <c r="B18" s="32">
        <v>17</v>
      </c>
      <c r="C18" s="6">
        <v>46065</v>
      </c>
      <c r="D18" s="7">
        <v>18</v>
      </c>
      <c r="E18" t="s">
        <v>45</v>
      </c>
      <c r="F18" s="1" t="s">
        <v>46</v>
      </c>
      <c r="G18">
        <f t="shared" ref="G18:G31" si="3">G17</f>
        <v>1415</v>
      </c>
      <c r="H18" s="2"/>
      <c r="I18" s="2">
        <v>1294214.8799999999</v>
      </c>
      <c r="J18" s="2">
        <f>J17+Gastos[[#This Row],[Ingresa]]-Gastos[[#This Row],[Sale]]</f>
        <v>12930096.57</v>
      </c>
      <c r="K18" s="2">
        <f>I18/G18</f>
        <v>914.63949116607762</v>
      </c>
      <c r="L18" s="2"/>
      <c r="N18" s="39">
        <v>17</v>
      </c>
      <c r="O18" s="8">
        <v>46090.563830370367</v>
      </c>
      <c r="P18" s="9" t="s">
        <v>47</v>
      </c>
      <c r="Q18" s="2">
        <f t="shared" si="0"/>
        <v>3600</v>
      </c>
      <c r="R18" s="45">
        <v>-2000</v>
      </c>
      <c r="S18" s="2">
        <f t="shared" si="1"/>
        <v>1600</v>
      </c>
      <c r="T18" s="45"/>
      <c r="U18" s="2">
        <f t="shared" si="2"/>
        <v>2000</v>
      </c>
    </row>
    <row r="19" spans="2:21" x14ac:dyDescent="0.25">
      <c r="B19" s="32">
        <v>18</v>
      </c>
      <c r="C19" s="6">
        <v>46065</v>
      </c>
      <c r="D19" s="7">
        <v>6</v>
      </c>
      <c r="E19" t="s">
        <v>48</v>
      </c>
      <c r="F19" s="1" t="s">
        <v>46</v>
      </c>
      <c r="G19">
        <f t="shared" si="3"/>
        <v>1415</v>
      </c>
      <c r="H19" s="2"/>
      <c r="I19" s="2">
        <v>1145454.55</v>
      </c>
      <c r="J19" s="2">
        <f>J18+Gastos[[#This Row],[Ingresa]]-Gastos[[#This Row],[Sale]]</f>
        <v>11784642.02</v>
      </c>
      <c r="K19" s="14">
        <f>Gastos[[#This Row],[Sale]]/Gastos[[#This Row],[Dólar]]</f>
        <v>809.50851590106015</v>
      </c>
      <c r="L19" s="2"/>
      <c r="N19" s="39">
        <v>18</v>
      </c>
      <c r="O19" s="8">
        <v>46091.333941087963</v>
      </c>
      <c r="P19" s="9" t="s">
        <v>49</v>
      </c>
      <c r="Q19" s="2">
        <f t="shared" si="0"/>
        <v>3530</v>
      </c>
      <c r="R19" s="45"/>
      <c r="S19" s="2">
        <f t="shared" si="1"/>
        <v>1600</v>
      </c>
      <c r="T19" s="45">
        <v>-70</v>
      </c>
      <c r="U19" s="2">
        <f t="shared" si="2"/>
        <v>1930</v>
      </c>
    </row>
    <row r="20" spans="2:21" x14ac:dyDescent="0.25">
      <c r="B20" s="32">
        <v>19</v>
      </c>
      <c r="C20" s="6">
        <v>46065</v>
      </c>
      <c r="D20">
        <v>16</v>
      </c>
      <c r="E20" t="s">
        <v>50</v>
      </c>
      <c r="F20" s="1" t="s">
        <v>51</v>
      </c>
      <c r="G20">
        <f t="shared" si="3"/>
        <v>1415</v>
      </c>
      <c r="H20" s="2"/>
      <c r="I20" s="2">
        <v>89255.64</v>
      </c>
      <c r="J20" s="2">
        <f>J19+Gastos[[#This Row],[Ingresa]]-Gastos[[#This Row],[Sale]]</f>
        <v>11695386.379999999</v>
      </c>
      <c r="K20" s="14">
        <f>Gastos[[#This Row],[Sale]]/Gastos[[#This Row],[Dólar]]</f>
        <v>63.078190812720848</v>
      </c>
      <c r="L20" s="2"/>
      <c r="N20" s="39">
        <v>19</v>
      </c>
      <c r="O20" s="40">
        <v>46091.336556041657</v>
      </c>
      <c r="P20" s="9" t="s">
        <v>52</v>
      </c>
      <c r="Q20" s="2">
        <f t="shared" si="0"/>
        <v>3520</v>
      </c>
      <c r="R20" s="45"/>
      <c r="S20" s="2">
        <f t="shared" si="1"/>
        <v>1600</v>
      </c>
      <c r="T20" s="45">
        <v>-10</v>
      </c>
      <c r="U20" s="2">
        <f t="shared" si="2"/>
        <v>1920</v>
      </c>
    </row>
    <row r="21" spans="2:21" x14ac:dyDescent="0.25">
      <c r="B21" s="32">
        <v>20</v>
      </c>
      <c r="C21" s="6">
        <v>46065</v>
      </c>
      <c r="D21" s="7">
        <v>375</v>
      </c>
      <c r="E21" t="s">
        <v>50</v>
      </c>
      <c r="F21" s="1" t="s">
        <v>43</v>
      </c>
      <c r="G21">
        <f t="shared" si="3"/>
        <v>1415</v>
      </c>
      <c r="H21" s="2"/>
      <c r="I21" s="2">
        <v>2091942.15</v>
      </c>
      <c r="J21" s="2">
        <f>J20+Gastos[[#This Row],[Ingresa]]-Gastos[[#This Row],[Sale]]</f>
        <v>9603444.2299999986</v>
      </c>
      <c r="K21" s="14">
        <f>Gastos[[#This Row],[Sale]]/Gastos[[#This Row],[Dólar]]</f>
        <v>1478.4043462897525</v>
      </c>
      <c r="L21" s="2"/>
      <c r="N21" s="39">
        <v>20</v>
      </c>
      <c r="O21" s="8">
        <v>46091.338040590279</v>
      </c>
      <c r="P21" s="9" t="s">
        <v>53</v>
      </c>
      <c r="Q21" s="2">
        <f t="shared" si="0"/>
        <v>3510</v>
      </c>
      <c r="R21" s="45"/>
      <c r="S21" s="2">
        <f t="shared" si="1"/>
        <v>1600</v>
      </c>
      <c r="T21" s="45">
        <v>-10</v>
      </c>
      <c r="U21" s="2">
        <f t="shared" si="2"/>
        <v>1910</v>
      </c>
    </row>
    <row r="22" spans="2:21" x14ac:dyDescent="0.25">
      <c r="B22" s="32">
        <v>21</v>
      </c>
      <c r="C22" s="6">
        <v>46065</v>
      </c>
      <c r="D22">
        <v>45</v>
      </c>
      <c r="E22" t="s">
        <v>54</v>
      </c>
      <c r="F22" s="1" t="s">
        <v>51</v>
      </c>
      <c r="G22">
        <f t="shared" si="3"/>
        <v>1415</v>
      </c>
      <c r="H22" s="2"/>
      <c r="I22" s="2">
        <v>351446.28</v>
      </c>
      <c r="J22" s="2">
        <f>J21+Gastos[[#This Row],[Ingresa]]-Gastos[[#This Row],[Sale]]</f>
        <v>9251997.9499999993</v>
      </c>
      <c r="K22" s="14">
        <f>Gastos[[#This Row],[Sale]]/Gastos[[#This Row],[Dólar]]</f>
        <v>248.37192932862192</v>
      </c>
      <c r="L22" s="2"/>
      <c r="N22" s="39">
        <v>21</v>
      </c>
      <c r="O22" s="8">
        <v>46091.338304321624</v>
      </c>
      <c r="P22" s="9" t="s">
        <v>53</v>
      </c>
      <c r="Q22" s="2">
        <f t="shared" si="0"/>
        <v>3500</v>
      </c>
      <c r="R22" s="45"/>
      <c r="S22" s="2">
        <f t="shared" si="1"/>
        <v>1600</v>
      </c>
      <c r="T22" s="45">
        <v>-10</v>
      </c>
      <c r="U22" s="2">
        <f t="shared" si="2"/>
        <v>1900</v>
      </c>
    </row>
    <row r="23" spans="2:21" x14ac:dyDescent="0.25">
      <c r="B23" s="32">
        <v>22</v>
      </c>
      <c r="C23" s="6">
        <v>46065</v>
      </c>
      <c r="D23">
        <v>122</v>
      </c>
      <c r="E23" t="s">
        <v>55</v>
      </c>
      <c r="F23" s="1" t="s">
        <v>56</v>
      </c>
      <c r="G23">
        <f t="shared" si="3"/>
        <v>1415</v>
      </c>
      <c r="H23" s="2"/>
      <c r="I23" s="2">
        <v>340288.7</v>
      </c>
      <c r="J23" s="2">
        <f>J22+Gastos[[#This Row],[Ingresa]]-Gastos[[#This Row],[Sale]]</f>
        <v>8911709.25</v>
      </c>
      <c r="K23" s="14">
        <f>Gastos[[#This Row],[Sale]]/Gastos[[#This Row],[Dólar]]</f>
        <v>240.48671378091873</v>
      </c>
      <c r="L23" s="2"/>
      <c r="N23" s="39"/>
      <c r="O23" s="8"/>
      <c r="P23" s="9"/>
      <c r="Q23" s="2">
        <f t="shared" si="0"/>
        <v>3500</v>
      </c>
      <c r="R23" s="45"/>
      <c r="S23" s="2">
        <f t="shared" si="1"/>
        <v>1600</v>
      </c>
      <c r="T23" s="45"/>
      <c r="U23" s="2">
        <f t="shared" si="2"/>
        <v>1900</v>
      </c>
    </row>
    <row r="24" spans="2:21" x14ac:dyDescent="0.25">
      <c r="B24" s="32">
        <v>23</v>
      </c>
      <c r="C24" s="6">
        <v>46065</v>
      </c>
      <c r="D24">
        <v>36</v>
      </c>
      <c r="E24" t="s">
        <v>57</v>
      </c>
      <c r="F24" s="1" t="s">
        <v>51</v>
      </c>
      <c r="G24">
        <f t="shared" si="3"/>
        <v>1415</v>
      </c>
      <c r="H24" s="2"/>
      <c r="I24" s="2">
        <v>200826.45</v>
      </c>
      <c r="J24" s="2">
        <f>J23+Gastos[[#This Row],[Ingresa]]-Gastos[[#This Row],[Sale]]</f>
        <v>8710882.8000000007</v>
      </c>
      <c r="K24" s="14">
        <f>Gastos[[#This Row],[Sale]]/Gastos[[#This Row],[Dólar]]</f>
        <v>141.92681978798586</v>
      </c>
      <c r="L24" s="2"/>
      <c r="N24" s="39"/>
      <c r="O24" s="8"/>
      <c r="P24" s="9"/>
      <c r="Q24" s="2">
        <f t="shared" si="0"/>
        <v>3500</v>
      </c>
      <c r="R24" s="45"/>
      <c r="S24" s="2">
        <f t="shared" si="1"/>
        <v>1600</v>
      </c>
      <c r="T24" s="45"/>
      <c r="U24" s="2">
        <f t="shared" si="2"/>
        <v>1900</v>
      </c>
    </row>
    <row r="25" spans="2:21" x14ac:dyDescent="0.25">
      <c r="B25" s="32">
        <v>24</v>
      </c>
      <c r="C25" s="6">
        <v>46065</v>
      </c>
      <c r="D25">
        <v>277</v>
      </c>
      <c r="E25" t="s">
        <v>58</v>
      </c>
      <c r="F25" s="1" t="s">
        <v>43</v>
      </c>
      <c r="G25">
        <f t="shared" si="3"/>
        <v>1415</v>
      </c>
      <c r="H25" s="2"/>
      <c r="I25" s="2">
        <v>3090496.43</v>
      </c>
      <c r="J25" s="2">
        <f>J24+Gastos[[#This Row],[Ingresa]]-Gastos[[#This Row],[Sale]]</f>
        <v>5620386.370000001</v>
      </c>
      <c r="K25" s="14">
        <f>Gastos[[#This Row],[Sale]]/Gastos[[#This Row],[Dólar]]</f>
        <v>2184.0964169611307</v>
      </c>
      <c r="L25" s="2"/>
      <c r="N25" s="39"/>
      <c r="O25" s="8"/>
      <c r="P25" s="9"/>
      <c r="Q25" s="2">
        <f t="shared" si="0"/>
        <v>3500</v>
      </c>
      <c r="R25" s="45"/>
      <c r="S25" s="2">
        <f t="shared" si="1"/>
        <v>1600</v>
      </c>
      <c r="T25" s="45"/>
      <c r="U25" s="2">
        <f t="shared" si="2"/>
        <v>1900</v>
      </c>
    </row>
    <row r="26" spans="2:21" x14ac:dyDescent="0.25">
      <c r="B26" s="32">
        <v>25</v>
      </c>
      <c r="C26" s="6">
        <v>46065</v>
      </c>
      <c r="D26" s="7">
        <v>54</v>
      </c>
      <c r="E26" t="s">
        <v>59</v>
      </c>
      <c r="F26" s="1" t="s">
        <v>51</v>
      </c>
      <c r="G26">
        <f t="shared" si="3"/>
        <v>1415</v>
      </c>
      <c r="H26" s="2"/>
      <c r="I26" s="2">
        <v>1084462.81</v>
      </c>
      <c r="J26" s="2">
        <f>J25+Gastos[[#This Row],[Ingresa]]-Gastos[[#This Row],[Sale]]</f>
        <v>4535923.5600000005</v>
      </c>
      <c r="K26" s="14">
        <f>Gastos[[#This Row],[Sale]]/Gastos[[#This Row],[Dólar]]</f>
        <v>766.4048127208481</v>
      </c>
      <c r="L26" s="2"/>
      <c r="N26" s="39"/>
      <c r="O26" s="8"/>
      <c r="P26" s="9"/>
      <c r="Q26" s="2">
        <f t="shared" si="0"/>
        <v>3500</v>
      </c>
      <c r="R26" s="45"/>
      <c r="S26" s="2">
        <f t="shared" si="1"/>
        <v>1600</v>
      </c>
      <c r="T26" s="45"/>
      <c r="U26" s="2">
        <f t="shared" si="2"/>
        <v>1900</v>
      </c>
    </row>
    <row r="27" spans="2:21" x14ac:dyDescent="0.25">
      <c r="B27" s="32">
        <v>26</v>
      </c>
      <c r="C27" s="6">
        <v>46065</v>
      </c>
      <c r="D27" s="7">
        <v>12</v>
      </c>
      <c r="E27" t="s">
        <v>60</v>
      </c>
      <c r="F27" s="1" t="s">
        <v>46</v>
      </c>
      <c r="G27">
        <f t="shared" si="3"/>
        <v>1415</v>
      </c>
      <c r="H27" s="2"/>
      <c r="I27" s="2">
        <v>485553.72</v>
      </c>
      <c r="J27" s="2">
        <f>J26+Gastos[[#This Row],[Ingresa]]-Gastos[[#This Row],[Sale]]</f>
        <v>4050369.8400000008</v>
      </c>
      <c r="K27" s="14">
        <f>Gastos[[#This Row],[Sale]]/Gastos[[#This Row],[Dólar]]</f>
        <v>343.14750530035332</v>
      </c>
      <c r="L27" s="2"/>
      <c r="N27" s="39"/>
      <c r="O27" s="8"/>
      <c r="P27" s="9"/>
      <c r="Q27" s="2">
        <f t="shared" si="0"/>
        <v>3500</v>
      </c>
      <c r="R27" s="45"/>
      <c r="S27" s="2">
        <f t="shared" si="1"/>
        <v>1600</v>
      </c>
      <c r="T27" s="45"/>
      <c r="U27" s="2">
        <f t="shared" si="2"/>
        <v>1900</v>
      </c>
    </row>
    <row r="28" spans="2:21" x14ac:dyDescent="0.25">
      <c r="B28" s="32">
        <v>27</v>
      </c>
      <c r="C28" s="6">
        <v>46065</v>
      </c>
      <c r="D28" s="7">
        <v>8</v>
      </c>
      <c r="E28" t="s">
        <v>61</v>
      </c>
      <c r="F28" s="1" t="s">
        <v>51</v>
      </c>
      <c r="G28">
        <f t="shared" si="3"/>
        <v>1415</v>
      </c>
      <c r="H28" s="2"/>
      <c r="I28" s="2">
        <v>133884.29999999999</v>
      </c>
      <c r="J28" s="2">
        <f>J27+Gastos[[#This Row],[Ingresa]]-Gastos[[#This Row],[Sale]]</f>
        <v>3916485.540000001</v>
      </c>
      <c r="K28" s="14">
        <f>Gastos[[#This Row],[Sale]]/Gastos[[#This Row],[Dólar]]</f>
        <v>94.617879858657233</v>
      </c>
      <c r="L28" s="2"/>
      <c r="N28" s="39"/>
      <c r="O28" s="8"/>
      <c r="P28" s="9"/>
      <c r="Q28" s="2">
        <f t="shared" si="0"/>
        <v>3500</v>
      </c>
      <c r="R28" s="45"/>
      <c r="S28" s="2">
        <f t="shared" si="1"/>
        <v>1600</v>
      </c>
      <c r="T28" s="45"/>
      <c r="U28" s="2">
        <f t="shared" si="2"/>
        <v>1900</v>
      </c>
    </row>
    <row r="29" spans="2:21" x14ac:dyDescent="0.25">
      <c r="B29" s="32">
        <v>28</v>
      </c>
      <c r="C29" s="6">
        <v>46065</v>
      </c>
      <c r="D29" s="7">
        <v>21</v>
      </c>
      <c r="E29" t="s">
        <v>62</v>
      </c>
      <c r="F29" s="1" t="s">
        <v>43</v>
      </c>
      <c r="G29">
        <f t="shared" si="3"/>
        <v>1415</v>
      </c>
      <c r="H29" s="2"/>
      <c r="I29" s="2">
        <v>1198677.69</v>
      </c>
      <c r="J29" s="2">
        <f>J28+Gastos[[#This Row],[Ingresa]]-Gastos[[#This Row],[Sale]]</f>
        <v>2717807.850000001</v>
      </c>
      <c r="K29" s="14">
        <f>Gastos[[#This Row],[Sale]]/Gastos[[#This Row],[Dólar]]</f>
        <v>847.12204240282676</v>
      </c>
      <c r="L29" s="2"/>
      <c r="N29" s="39"/>
      <c r="O29" s="8"/>
      <c r="P29" s="9"/>
      <c r="Q29" s="2">
        <f t="shared" si="0"/>
        <v>3500</v>
      </c>
      <c r="R29" s="45"/>
      <c r="S29" s="2">
        <f t="shared" si="1"/>
        <v>1600</v>
      </c>
      <c r="T29" s="45"/>
      <c r="U29" s="2">
        <f t="shared" si="2"/>
        <v>1900</v>
      </c>
    </row>
    <row r="30" spans="2:21" x14ac:dyDescent="0.25">
      <c r="B30" s="32">
        <v>29</v>
      </c>
      <c r="C30" s="6">
        <v>46065</v>
      </c>
      <c r="D30" s="7">
        <v>12</v>
      </c>
      <c r="E30" t="s">
        <v>63</v>
      </c>
      <c r="F30" s="1" t="s">
        <v>46</v>
      </c>
      <c r="G30">
        <f t="shared" si="3"/>
        <v>1415</v>
      </c>
      <c r="H30" s="2"/>
      <c r="I30" s="2">
        <v>323702.48</v>
      </c>
      <c r="J30" s="2">
        <f>J29+Gastos[[#This Row],[Ingresa]]-Gastos[[#This Row],[Sale]]</f>
        <v>2394105.370000001</v>
      </c>
      <c r="K30" s="14">
        <f>Gastos[[#This Row],[Sale]]/Gastos[[#This Row],[Dólar]]</f>
        <v>228.76500353356889</v>
      </c>
      <c r="L30" s="2"/>
      <c r="N30" s="39"/>
      <c r="O30" s="8"/>
      <c r="P30" s="9"/>
      <c r="Q30" s="2">
        <f t="shared" si="0"/>
        <v>3500</v>
      </c>
      <c r="R30" s="45"/>
      <c r="S30" s="2">
        <f t="shared" si="1"/>
        <v>1600</v>
      </c>
      <c r="T30" s="45"/>
      <c r="U30" s="2">
        <f t="shared" si="2"/>
        <v>1900</v>
      </c>
    </row>
    <row r="31" spans="2:21" x14ac:dyDescent="0.25">
      <c r="B31" s="32">
        <v>30</v>
      </c>
      <c r="C31" s="6">
        <v>46065</v>
      </c>
      <c r="D31" s="7">
        <v>109</v>
      </c>
      <c r="E31" s="13" t="s">
        <v>64</v>
      </c>
      <c r="F31" s="1" t="s">
        <v>51</v>
      </c>
      <c r="G31">
        <f t="shared" si="3"/>
        <v>1415</v>
      </c>
      <c r="H31" s="2"/>
      <c r="I31" s="2">
        <v>2022355.37</v>
      </c>
      <c r="J31" s="2">
        <f>J30+Gastos[[#This Row],[Ingresa]]-Gastos[[#This Row],[Sale]]</f>
        <v>371750.00000000093</v>
      </c>
      <c r="K31" s="14">
        <f>Gastos[[#This Row],[Sale]]/Gastos[[#This Row],[Dólar]]</f>
        <v>1429.2264098939929</v>
      </c>
      <c r="L31" s="2"/>
      <c r="N31" s="39"/>
      <c r="O31" s="8"/>
      <c r="P31" s="9"/>
      <c r="Q31" s="2">
        <f t="shared" si="0"/>
        <v>3500</v>
      </c>
      <c r="R31" s="45"/>
      <c r="S31" s="2">
        <f t="shared" si="1"/>
        <v>1600</v>
      </c>
      <c r="T31" s="45"/>
      <c r="U31" s="2">
        <f t="shared" si="2"/>
        <v>1900</v>
      </c>
    </row>
    <row r="32" spans="2:21" x14ac:dyDescent="0.25">
      <c r="B32" s="32">
        <v>31</v>
      </c>
      <c r="C32" s="6">
        <v>46065</v>
      </c>
      <c r="D32">
        <v>800</v>
      </c>
      <c r="E32" t="s">
        <v>65</v>
      </c>
      <c r="F32" s="1" t="s">
        <v>17</v>
      </c>
      <c r="G32">
        <v>1430</v>
      </c>
      <c r="H32" s="2">
        <f>Gastos[[#This Row],[Cant]]*Gastos[[#This Row],[Dólar]]</f>
        <v>1144000</v>
      </c>
      <c r="I32" s="2"/>
      <c r="J32" s="2">
        <f>J31+Gastos[[#This Row],[Ingresa]]-Gastos[[#This Row],[Sale]]</f>
        <v>1515750.0000000009</v>
      </c>
      <c r="K32" s="14">
        <f>Gastos[[#This Row],[Sale]]/Gastos[[#This Row],[Dólar]]</f>
        <v>0</v>
      </c>
      <c r="L32" s="2"/>
      <c r="N32" s="39"/>
      <c r="O32" s="8"/>
      <c r="P32" s="9"/>
      <c r="Q32" s="2">
        <f t="shared" si="0"/>
        <v>3500</v>
      </c>
      <c r="R32" s="45"/>
      <c r="S32" s="2">
        <f t="shared" si="1"/>
        <v>1600</v>
      </c>
      <c r="T32" s="45"/>
      <c r="U32" s="2">
        <f t="shared" si="2"/>
        <v>1900</v>
      </c>
    </row>
    <row r="33" spans="2:21" x14ac:dyDescent="0.25">
      <c r="B33" s="32">
        <v>32</v>
      </c>
      <c r="C33" s="6">
        <v>46065</v>
      </c>
      <c r="E33" t="s">
        <v>66</v>
      </c>
      <c r="F33" s="1" t="s">
        <v>40</v>
      </c>
      <c r="G33">
        <f>G32</f>
        <v>1430</v>
      </c>
      <c r="H33" s="2"/>
      <c r="I33" s="2">
        <f>1144000+108000</f>
        <v>1252000</v>
      </c>
      <c r="J33" s="2">
        <f>J32+Gastos[[#This Row],[Ingresa]]-Gastos[[#This Row],[Sale]]</f>
        <v>263750.00000000093</v>
      </c>
      <c r="K33" s="14">
        <f>Gastos[[#This Row],[Sale]]/Gastos[[#This Row],[Dólar]]</f>
        <v>875.52447552447552</v>
      </c>
      <c r="L33" s="2"/>
      <c r="N33" s="39"/>
      <c r="O33" s="8"/>
      <c r="P33" s="9"/>
      <c r="Q33" s="2">
        <f t="shared" si="0"/>
        <v>3500</v>
      </c>
      <c r="R33" s="45"/>
      <c r="S33" s="2">
        <f t="shared" si="1"/>
        <v>1600</v>
      </c>
      <c r="T33" s="45"/>
      <c r="U33" s="2">
        <f t="shared" si="2"/>
        <v>1900</v>
      </c>
    </row>
    <row r="34" spans="2:21" x14ac:dyDescent="0.25">
      <c r="B34" s="32">
        <v>33</v>
      </c>
      <c r="C34" s="6">
        <v>46066</v>
      </c>
      <c r="D34">
        <v>700</v>
      </c>
      <c r="E34" t="s">
        <v>67</v>
      </c>
      <c r="F34" s="1" t="s">
        <v>17</v>
      </c>
      <c r="G34">
        <v>1430</v>
      </c>
      <c r="H34" s="2">
        <f>Gastos[[#This Row],[Cant]]*Gastos[[#This Row],[Dólar]]</f>
        <v>1001000</v>
      </c>
      <c r="I34" s="2"/>
      <c r="J34" s="2">
        <f>J33+Gastos[[#This Row],[Ingresa]]-Gastos[[#This Row],[Sale]]</f>
        <v>1264750.0000000009</v>
      </c>
      <c r="K34" s="14">
        <f>Gastos[[#This Row],[Sale]]/Gastos[[#This Row],[Dólar]]</f>
        <v>0</v>
      </c>
      <c r="L34" s="2"/>
      <c r="N34" s="39"/>
      <c r="O34" s="8"/>
      <c r="P34" s="9"/>
      <c r="Q34" s="2">
        <f t="shared" si="0"/>
        <v>3500</v>
      </c>
      <c r="R34" s="45"/>
      <c r="S34" s="2">
        <f t="shared" si="1"/>
        <v>1600</v>
      </c>
      <c r="T34" s="45"/>
      <c r="U34" s="2">
        <f t="shared" si="2"/>
        <v>1900</v>
      </c>
    </row>
    <row r="35" spans="2:21" x14ac:dyDescent="0.25">
      <c r="B35" s="32">
        <v>34</v>
      </c>
      <c r="C35" s="6">
        <v>46066</v>
      </c>
      <c r="D35">
        <v>54</v>
      </c>
      <c r="E35" t="s">
        <v>68</v>
      </c>
      <c r="F35" s="1" t="s">
        <v>40</v>
      </c>
      <c r="G35">
        <f>G34</f>
        <v>1430</v>
      </c>
      <c r="H35" s="2"/>
      <c r="I35" s="2">
        <f>84320.46</f>
        <v>84320.46</v>
      </c>
      <c r="J35" s="2">
        <f>J34+Gastos[[#This Row],[Ingresa]]-Gastos[[#This Row],[Sale]]</f>
        <v>1180429.540000001</v>
      </c>
      <c r="K35" s="14">
        <f>Gastos[[#This Row],[Sale]]/Gastos[[#This Row],[Dólar]]</f>
        <v>58.96535664335665</v>
      </c>
      <c r="L35" s="2"/>
      <c r="N35" s="39"/>
      <c r="O35" s="8"/>
      <c r="P35" s="9"/>
      <c r="Q35" s="2">
        <f t="shared" si="0"/>
        <v>3500</v>
      </c>
      <c r="R35" s="45"/>
      <c r="S35" s="2">
        <f t="shared" si="1"/>
        <v>1600</v>
      </c>
      <c r="T35" s="45"/>
      <c r="U35" s="2">
        <f t="shared" si="2"/>
        <v>1900</v>
      </c>
    </row>
    <row r="36" spans="2:21" x14ac:dyDescent="0.25">
      <c r="B36" s="32">
        <v>35</v>
      </c>
      <c r="C36" s="6">
        <v>46066</v>
      </c>
      <c r="D36">
        <v>60</v>
      </c>
      <c r="E36" t="s">
        <v>69</v>
      </c>
      <c r="F36" s="1" t="s">
        <v>40</v>
      </c>
      <c r="G36">
        <f>G35</f>
        <v>1430</v>
      </c>
      <c r="H36" s="2"/>
      <c r="I36" s="2">
        <v>32031</v>
      </c>
      <c r="J36" s="2">
        <f>J35+Gastos[[#This Row],[Ingresa]]-Gastos[[#This Row],[Sale]]</f>
        <v>1148398.540000001</v>
      </c>
      <c r="K36" s="14">
        <f>Gastos[[#This Row],[Sale]]/Gastos[[#This Row],[Dólar]]</f>
        <v>22.399300699300699</v>
      </c>
      <c r="L36" s="2"/>
      <c r="N36" s="39"/>
      <c r="O36" s="8"/>
      <c r="P36" s="9"/>
      <c r="Q36" s="2">
        <f t="shared" si="0"/>
        <v>3500</v>
      </c>
      <c r="R36" s="45"/>
      <c r="S36" s="2">
        <f t="shared" si="1"/>
        <v>1600</v>
      </c>
      <c r="T36" s="45"/>
      <c r="U36" s="2">
        <f t="shared" si="2"/>
        <v>1900</v>
      </c>
    </row>
    <row r="37" spans="2:21" x14ac:dyDescent="0.25">
      <c r="B37" s="32">
        <v>36</v>
      </c>
      <c r="C37" s="6">
        <v>46066</v>
      </c>
      <c r="E37" t="s">
        <v>70</v>
      </c>
      <c r="F37" s="1" t="s">
        <v>43</v>
      </c>
      <c r="G37">
        <f>G36</f>
        <v>1430</v>
      </c>
      <c r="H37" s="2"/>
      <c r="I37" s="2">
        <v>895863.8</v>
      </c>
      <c r="J37" s="2">
        <f>J36+Gastos[[#This Row],[Ingresa]]-Gastos[[#This Row],[Sale]]</f>
        <v>252534.74000000092</v>
      </c>
      <c r="K37" s="14">
        <f>Gastos[[#This Row],[Sale]]/Gastos[[#This Row],[Dólar]]</f>
        <v>626.47818181818184</v>
      </c>
      <c r="L37" s="2"/>
      <c r="N37" s="39"/>
      <c r="O37" s="8"/>
      <c r="P37" s="9"/>
      <c r="Q37" s="2">
        <f t="shared" si="0"/>
        <v>3500</v>
      </c>
      <c r="R37" s="45"/>
      <c r="S37" s="2">
        <f t="shared" si="1"/>
        <v>1600</v>
      </c>
      <c r="T37" s="45"/>
      <c r="U37" s="2">
        <f t="shared" si="2"/>
        <v>1900</v>
      </c>
    </row>
    <row r="38" spans="2:21" x14ac:dyDescent="0.25">
      <c r="B38" s="33">
        <v>37</v>
      </c>
      <c r="C38" s="5">
        <v>46080</v>
      </c>
      <c r="D38">
        <v>600</v>
      </c>
      <c r="E38" t="s">
        <v>71</v>
      </c>
      <c r="F38" s="1" t="s">
        <v>17</v>
      </c>
      <c r="G38">
        <v>1410</v>
      </c>
      <c r="H38" s="2">
        <f>Gastos[[#This Row],[Cant]]*Gastos[[#This Row],[Dólar]]</f>
        <v>846000</v>
      </c>
      <c r="I38" s="2"/>
      <c r="J38" s="2">
        <f>J37+Gastos[[#This Row],[Ingresa]]-Gastos[[#This Row],[Sale]]</f>
        <v>1098534.7400000009</v>
      </c>
      <c r="K38" s="14">
        <f>Gastos[[#This Row],[Sale]]/Gastos[[#This Row],[Dólar]]</f>
        <v>0</v>
      </c>
      <c r="L38" s="2"/>
      <c r="N38" s="39"/>
      <c r="O38" s="8"/>
      <c r="P38" s="9"/>
      <c r="Q38" s="2">
        <f t="shared" si="0"/>
        <v>3500</v>
      </c>
      <c r="R38" s="45"/>
      <c r="S38" s="2">
        <f t="shared" si="1"/>
        <v>1600</v>
      </c>
      <c r="T38" s="45"/>
      <c r="U38" s="2">
        <f t="shared" si="2"/>
        <v>1900</v>
      </c>
    </row>
    <row r="39" spans="2:21" x14ac:dyDescent="0.25">
      <c r="B39" s="33">
        <v>38</v>
      </c>
      <c r="C39" s="5">
        <v>46082.789098993053</v>
      </c>
      <c r="E39" t="s">
        <v>72</v>
      </c>
      <c r="F39" t="s">
        <v>73</v>
      </c>
      <c r="G39">
        <f t="shared" ref="G39:G45" si="4">G38</f>
        <v>1410</v>
      </c>
      <c r="H39" s="2"/>
      <c r="I39" s="2">
        <v>40000</v>
      </c>
      <c r="J39" s="2">
        <f>J38+Gastos[[#This Row],[Ingresa]]-Gastos[[#This Row],[Sale]]</f>
        <v>1058534.7400000009</v>
      </c>
      <c r="K39" s="14">
        <f>Gastos[[#This Row],[Sale]]/Gastos[[#This Row],[Dólar]]</f>
        <v>28.368794326241133</v>
      </c>
      <c r="L39" s="2" t="s">
        <v>74</v>
      </c>
      <c r="N39" s="39"/>
      <c r="O39" s="8"/>
      <c r="P39" s="9"/>
      <c r="Q39" s="2">
        <f t="shared" si="0"/>
        <v>3500</v>
      </c>
      <c r="R39" s="45"/>
      <c r="S39" s="2">
        <f t="shared" si="1"/>
        <v>1600</v>
      </c>
      <c r="T39" s="45"/>
      <c r="U39" s="2">
        <f t="shared" si="2"/>
        <v>1900</v>
      </c>
    </row>
    <row r="40" spans="2:21" x14ac:dyDescent="0.25">
      <c r="B40" s="33">
        <v>39</v>
      </c>
      <c r="C40" s="5">
        <v>46082.790041782413</v>
      </c>
      <c r="E40" t="s">
        <v>75</v>
      </c>
      <c r="F40" t="s">
        <v>76</v>
      </c>
      <c r="G40">
        <f t="shared" si="4"/>
        <v>1410</v>
      </c>
      <c r="H40" s="2"/>
      <c r="I40" s="2">
        <v>470660</v>
      </c>
      <c r="J40" s="2">
        <f>J39+Gastos[[#This Row],[Ingresa]]-Gastos[[#This Row],[Sale]]</f>
        <v>587874.74000000092</v>
      </c>
      <c r="K40" s="14">
        <f>Gastos[[#This Row],[Sale]]/Gastos[[#This Row],[Dólar]]</f>
        <v>333.80141843971631</v>
      </c>
      <c r="L40" s="2" t="s">
        <v>74</v>
      </c>
      <c r="N40" s="1"/>
      <c r="O40" s="1"/>
      <c r="Q40" s="2"/>
    </row>
    <row r="41" spans="2:21" x14ac:dyDescent="0.25">
      <c r="B41" s="33">
        <v>40</v>
      </c>
      <c r="C41" s="5">
        <v>46082.790238541667</v>
      </c>
      <c r="D41" s="7"/>
      <c r="E41" s="13" t="s">
        <v>77</v>
      </c>
      <c r="F41" t="s">
        <v>78</v>
      </c>
      <c r="G41">
        <f t="shared" si="4"/>
        <v>1410</v>
      </c>
      <c r="H41" s="2"/>
      <c r="I41" s="2">
        <v>389000</v>
      </c>
      <c r="J41" s="2">
        <f>J40+Gastos[[#This Row],[Ingresa]]-Gastos[[#This Row],[Sale]]</f>
        <v>198874.74000000092</v>
      </c>
      <c r="K41" s="14">
        <f>Gastos[[#This Row],[Sale]]/Gastos[[#This Row],[Dólar]]</f>
        <v>275.88652482269504</v>
      </c>
      <c r="L41" s="2" t="s">
        <v>74</v>
      </c>
      <c r="N41" s="1"/>
      <c r="O41" s="12"/>
      <c r="Q41" s="2"/>
    </row>
    <row r="42" spans="2:21" x14ac:dyDescent="0.25">
      <c r="B42" s="33">
        <v>41</v>
      </c>
      <c r="C42" s="5">
        <v>46082.790370312498</v>
      </c>
      <c r="E42" s="13" t="s">
        <v>79</v>
      </c>
      <c r="F42" t="s">
        <v>78</v>
      </c>
      <c r="G42">
        <f t="shared" si="4"/>
        <v>1410</v>
      </c>
      <c r="H42" s="2"/>
      <c r="I42" s="2">
        <v>22500</v>
      </c>
      <c r="J42" s="2">
        <f>J41+Gastos[[#This Row],[Ingresa]]-Gastos[[#This Row],[Sale]]</f>
        <v>176374.74000000092</v>
      </c>
      <c r="K42" s="14">
        <f>Gastos[[#This Row],[Sale]]/Gastos[[#This Row],[Dólar]]</f>
        <v>15.957446808510639</v>
      </c>
      <c r="L42" s="2" t="s">
        <v>74</v>
      </c>
      <c r="N42" s="1"/>
      <c r="O42" s="1"/>
      <c r="Q42" s="2"/>
    </row>
    <row r="43" spans="2:21" x14ac:dyDescent="0.25">
      <c r="B43" s="33">
        <v>42</v>
      </c>
      <c r="C43" s="5">
        <v>46082.790506273152</v>
      </c>
      <c r="E43" s="13" t="s">
        <v>80</v>
      </c>
      <c r="F43" t="s">
        <v>81</v>
      </c>
      <c r="G43">
        <f t="shared" si="4"/>
        <v>1410</v>
      </c>
      <c r="H43" s="2"/>
      <c r="I43" s="2">
        <v>5000</v>
      </c>
      <c r="J43" s="2">
        <f>J42+Gastos[[#This Row],[Ingresa]]-Gastos[[#This Row],[Sale]]</f>
        <v>171374.74000000092</v>
      </c>
      <c r="K43" s="14">
        <f>Gastos[[#This Row],[Sale]]/Gastos[[#This Row],[Dólar]]</f>
        <v>3.5460992907801416</v>
      </c>
      <c r="L43" s="2" t="s">
        <v>74</v>
      </c>
      <c r="N43" s="1"/>
      <c r="O43" s="1"/>
      <c r="Q43" s="2"/>
    </row>
    <row r="44" spans="2:21" x14ac:dyDescent="0.25">
      <c r="B44" s="33">
        <v>43</v>
      </c>
      <c r="C44" s="5">
        <v>46082.793648425933</v>
      </c>
      <c r="D44">
        <v>10</v>
      </c>
      <c r="E44" s="13" t="s">
        <v>82</v>
      </c>
      <c r="F44" t="s">
        <v>76</v>
      </c>
      <c r="G44">
        <f t="shared" si="4"/>
        <v>1410</v>
      </c>
      <c r="H44" s="2"/>
      <c r="I44" s="2">
        <v>30000</v>
      </c>
      <c r="J44" s="2">
        <f>J43+Gastos[[#This Row],[Ingresa]]-Gastos[[#This Row],[Sale]]</f>
        <v>141374.74000000092</v>
      </c>
      <c r="K44" s="14">
        <f>Gastos[[#This Row],[Sale]]/Gastos[[#This Row],[Dólar]]</f>
        <v>21.276595744680851</v>
      </c>
      <c r="L44" s="2" t="s">
        <v>74</v>
      </c>
      <c r="N44" s="1"/>
      <c r="O44" s="1"/>
      <c r="Q44" s="2"/>
    </row>
    <row r="45" spans="2:21" x14ac:dyDescent="0.25">
      <c r="B45" s="33">
        <v>44</v>
      </c>
      <c r="C45" s="5">
        <v>46082.793648425933</v>
      </c>
      <c r="E45" s="13" t="s">
        <v>83</v>
      </c>
      <c r="F45" t="s">
        <v>84</v>
      </c>
      <c r="G45">
        <f t="shared" si="4"/>
        <v>1410</v>
      </c>
      <c r="H45" s="2">
        <f>150050-141374.74</f>
        <v>8675.2600000000093</v>
      </c>
      <c r="I45" s="2"/>
      <c r="J45" s="2">
        <f>J44+Gastos[[#This Row],[Ingresa]]-Gastos[[#This Row],[Sale]]</f>
        <v>150050.00000000093</v>
      </c>
      <c r="K45" s="14">
        <f>Gastos[[#This Row],[Sale]]/Gastos[[#This Row],[Dólar]]</f>
        <v>0</v>
      </c>
      <c r="L45" s="14" t="s">
        <v>74</v>
      </c>
      <c r="N45" s="1"/>
      <c r="O45" s="1"/>
      <c r="Q45" s="2"/>
    </row>
    <row r="46" spans="2:21" ht="17.25" customHeight="1" x14ac:dyDescent="0.25">
      <c r="B46" s="33">
        <v>45</v>
      </c>
      <c r="C46" s="5">
        <v>46083.351110405092</v>
      </c>
      <c r="E46" t="s">
        <v>85</v>
      </c>
      <c r="F46" t="s">
        <v>86</v>
      </c>
      <c r="G46">
        <v>1390</v>
      </c>
      <c r="H46" s="2"/>
      <c r="I46" s="2">
        <v>8600</v>
      </c>
      <c r="J46" s="2">
        <f>J45+Gastos[[#This Row],[Ingresa]]-Gastos[[#This Row],[Sale]]</f>
        <v>141450.00000000093</v>
      </c>
      <c r="K46" s="14">
        <f>Gastos[[#This Row],[Sale]]/Gastos[[#This Row],[Dólar]]</f>
        <v>6.1870503597122299</v>
      </c>
      <c r="L46" s="2" t="s">
        <v>74</v>
      </c>
      <c r="N46" s="1"/>
      <c r="O46" s="1"/>
      <c r="Q46" s="2"/>
    </row>
    <row r="47" spans="2:21" x14ac:dyDescent="0.25">
      <c r="B47" s="33">
        <v>46</v>
      </c>
      <c r="C47" s="5">
        <v>46084</v>
      </c>
      <c r="D47">
        <v>2</v>
      </c>
      <c r="E47" s="13" t="s">
        <v>87</v>
      </c>
      <c r="F47" t="s">
        <v>78</v>
      </c>
      <c r="G47">
        <f>G46</f>
        <v>1390</v>
      </c>
      <c r="H47" s="2"/>
      <c r="I47" s="2">
        <v>63200</v>
      </c>
      <c r="J47" s="2">
        <f>J46+Gastos[[#This Row],[Ingresa]]-Gastos[[#This Row],[Sale]]</f>
        <v>78250.000000000931</v>
      </c>
      <c r="K47" s="14">
        <f>Gastos[[#This Row],[Sale]]/Gastos[[#This Row],[Dólar]]</f>
        <v>45.467625899280577</v>
      </c>
      <c r="L47" s="2"/>
      <c r="N47" s="1"/>
      <c r="O47" s="1"/>
      <c r="Q47" s="2"/>
    </row>
    <row r="48" spans="2:21" x14ac:dyDescent="0.25">
      <c r="B48" s="33">
        <v>47</v>
      </c>
      <c r="C48" s="5">
        <v>46087.749432037039</v>
      </c>
      <c r="D48" s="7"/>
      <c r="E48" t="s">
        <v>80</v>
      </c>
      <c r="F48" t="s">
        <v>81</v>
      </c>
      <c r="G48">
        <f>G47</f>
        <v>1390</v>
      </c>
      <c r="H48" s="2"/>
      <c r="I48" s="2">
        <v>21400</v>
      </c>
      <c r="J48" s="2">
        <f>J47+Gastos[[#This Row],[Ingresa]]-Gastos[[#This Row],[Sale]]</f>
        <v>56850.000000000931</v>
      </c>
      <c r="K48" s="14">
        <f>Gastos[[#This Row],[Sale]]/Gastos[[#This Row],[Dólar]]</f>
        <v>15.39568345323741</v>
      </c>
      <c r="L48" s="2" t="s">
        <v>74</v>
      </c>
      <c r="N48" s="1"/>
      <c r="O48" s="1"/>
    </row>
    <row r="49" spans="2:15" x14ac:dyDescent="0.25">
      <c r="B49" s="33">
        <v>48</v>
      </c>
      <c r="C49" s="5">
        <v>46089.482993449077</v>
      </c>
      <c r="D49" s="7"/>
      <c r="E49" t="s">
        <v>88</v>
      </c>
      <c r="F49" t="s">
        <v>73</v>
      </c>
      <c r="G49">
        <f>G48</f>
        <v>1390</v>
      </c>
      <c r="H49" s="2"/>
      <c r="I49" s="2">
        <v>25500</v>
      </c>
      <c r="J49" s="2">
        <f>J48+Gastos[[#This Row],[Ingresa]]-Gastos[[#This Row],[Sale]]</f>
        <v>31350.000000000931</v>
      </c>
      <c r="K49" s="14">
        <f>Gastos[[#This Row],[Sale]]/Gastos[[#This Row],[Dólar]]</f>
        <v>18.345323741007196</v>
      </c>
      <c r="L49" s="2" t="s">
        <v>74</v>
      </c>
      <c r="N49" s="1"/>
      <c r="O49" s="1"/>
    </row>
    <row r="50" spans="2:15" x14ac:dyDescent="0.25">
      <c r="B50" s="46">
        <v>49</v>
      </c>
      <c r="C50" s="43">
        <v>46090.563830370367</v>
      </c>
      <c r="D50" s="44" t="s">
        <v>89</v>
      </c>
      <c r="E50" s="44" t="s">
        <v>47</v>
      </c>
      <c r="F50" s="44" t="s">
        <v>17</v>
      </c>
      <c r="G50">
        <v>1410</v>
      </c>
      <c r="H50" s="14">
        <v>2820000</v>
      </c>
      <c r="I50" s="2"/>
      <c r="J50" s="2">
        <f>J49+Gastos[[#This Row],[Ingresa]]-Gastos[[#This Row],[Sale]]</f>
        <v>2851350.0000000009</v>
      </c>
      <c r="K50" s="14">
        <f>Gastos[[#This Row],[Sale]]/Gastos[[#This Row],[Dólar]]</f>
        <v>0</v>
      </c>
      <c r="L50" s="14" t="s">
        <v>90</v>
      </c>
      <c r="M50" s="41"/>
      <c r="N50" s="1"/>
      <c r="O50" s="1"/>
    </row>
    <row r="51" spans="2:15" x14ac:dyDescent="0.25">
      <c r="B51" s="33">
        <v>50</v>
      </c>
      <c r="C51" s="5">
        <v>46090.568217881948</v>
      </c>
      <c r="E51" t="s">
        <v>91</v>
      </c>
      <c r="F51" t="s">
        <v>84</v>
      </c>
      <c r="G51">
        <v>1400</v>
      </c>
      <c r="H51" s="2"/>
      <c r="I51" s="2">
        <v>11300</v>
      </c>
      <c r="J51" s="2">
        <f>J50+Gastos[[#This Row],[Ingresa]]-Gastos[[#This Row],[Sale]]</f>
        <v>2840050.0000000009</v>
      </c>
      <c r="K51" s="14">
        <f>Gastos[[#This Row],[Sale]]/Gastos[[#This Row],[Dólar]]</f>
        <v>8.0714285714285712</v>
      </c>
      <c r="L51" s="2" t="s">
        <v>74</v>
      </c>
      <c r="N51" s="1"/>
      <c r="O51" s="1"/>
    </row>
    <row r="52" spans="2:15" x14ac:dyDescent="0.25">
      <c r="B52" s="33">
        <v>51</v>
      </c>
      <c r="C52" s="47">
        <v>46090.613930659732</v>
      </c>
      <c r="E52" t="s">
        <v>92</v>
      </c>
      <c r="F52" t="s">
        <v>43</v>
      </c>
      <c r="G52">
        <f>G51</f>
        <v>1400</v>
      </c>
      <c r="H52" s="2"/>
      <c r="I52" s="2">
        <v>2000000</v>
      </c>
      <c r="J52" s="2">
        <f>J51+Gastos[[#This Row],[Ingresa]]-Gastos[[#This Row],[Sale]]</f>
        <v>840050.00000000093</v>
      </c>
      <c r="K52" s="14">
        <f>Gastos[[#This Row],[Sale]]/Gastos[[#This Row],[Dólar]]</f>
        <v>1428.5714285714287</v>
      </c>
      <c r="L52" s="2" t="s">
        <v>74</v>
      </c>
      <c r="N52" s="42"/>
      <c r="O52" s="1"/>
    </row>
    <row r="53" spans="2:15" x14ac:dyDescent="0.25">
      <c r="B53" s="33">
        <v>52</v>
      </c>
      <c r="C53" s="5">
        <v>46090.711155775462</v>
      </c>
      <c r="D53" s="7"/>
      <c r="E53" s="13" t="s">
        <v>93</v>
      </c>
      <c r="F53" t="s">
        <v>78</v>
      </c>
      <c r="G53">
        <f>G52</f>
        <v>1400</v>
      </c>
      <c r="H53" s="2"/>
      <c r="I53" s="2">
        <v>417050</v>
      </c>
      <c r="J53" s="2">
        <f>J52+Gastos[[#This Row],[Ingresa]]-Gastos[[#This Row],[Sale]]</f>
        <v>423000.00000000093</v>
      </c>
      <c r="K53" s="14">
        <f>Gastos[[#This Row],[Sale]]/Gastos[[#This Row],[Dólar]]</f>
        <v>297.89285714285717</v>
      </c>
      <c r="L53" s="2" t="s">
        <v>74</v>
      </c>
      <c r="N53" s="1"/>
      <c r="O53" s="1"/>
    </row>
    <row r="54" spans="2:15" x14ac:dyDescent="0.25">
      <c r="B54" s="33">
        <v>53</v>
      </c>
      <c r="C54" s="5">
        <v>46091.322139895827</v>
      </c>
      <c r="D54" s="7"/>
      <c r="E54" s="13" t="s">
        <v>94</v>
      </c>
      <c r="F54" t="s">
        <v>95</v>
      </c>
      <c r="G54">
        <v>1234</v>
      </c>
      <c r="H54" s="2"/>
      <c r="I54" s="2">
        <v>123</v>
      </c>
      <c r="J54" s="2">
        <f>J53+Gastos[[#This Row],[Ingresa]]-Gastos[[#This Row],[Sale]]</f>
        <v>422877.00000000093</v>
      </c>
      <c r="K54" s="14">
        <f>Gastos[[#This Row],[Sale]]/Gastos[[#This Row],[Dólar]]</f>
        <v>9.9675850891410053E-2</v>
      </c>
      <c r="L54" s="2" t="s">
        <v>74</v>
      </c>
      <c r="N54" s="1"/>
      <c r="O54" s="1"/>
    </row>
    <row r="55" spans="2:15" x14ac:dyDescent="0.25">
      <c r="B55" s="33">
        <v>54</v>
      </c>
      <c r="C55" s="5">
        <v>46091.333823194444</v>
      </c>
      <c r="E55" t="s">
        <v>96</v>
      </c>
      <c r="F55" t="s">
        <v>73</v>
      </c>
      <c r="G55">
        <f>G54</f>
        <v>1234</v>
      </c>
      <c r="H55" s="2"/>
      <c r="I55" s="2">
        <v>45</v>
      </c>
      <c r="J55" s="2">
        <f>J54+Gastos[[#This Row],[Ingresa]]-Gastos[[#This Row],[Sale]]</f>
        <v>422832.00000000093</v>
      </c>
      <c r="K55" s="14">
        <f>Gastos[[#This Row],[Sale]]/Gastos[[#This Row],[Dólar]]</f>
        <v>3.6466774716369527E-2</v>
      </c>
      <c r="L55" s="2" t="s">
        <v>74</v>
      </c>
      <c r="N55" s="1"/>
      <c r="O55" s="1"/>
    </row>
    <row r="56" spans="2:15" x14ac:dyDescent="0.25">
      <c r="B56" s="33">
        <v>55</v>
      </c>
      <c r="C56" s="5">
        <v>46091.333941087963</v>
      </c>
      <c r="D56" t="s">
        <v>97</v>
      </c>
      <c r="E56" t="s">
        <v>49</v>
      </c>
      <c r="F56" t="s">
        <v>17</v>
      </c>
      <c r="G56">
        <v>1400</v>
      </c>
      <c r="H56" s="2">
        <v>98000</v>
      </c>
      <c r="I56" s="2"/>
      <c r="J56" s="2">
        <f>J55+Gastos[[#This Row],[Ingresa]]-Gastos[[#This Row],[Sale]]</f>
        <v>520832.00000000093</v>
      </c>
      <c r="K56" s="14">
        <f>Gastos[[#This Row],[Sale]]/Gastos[[#This Row],[Dólar]]</f>
        <v>0</v>
      </c>
      <c r="L56" s="2" t="s">
        <v>74</v>
      </c>
      <c r="N56" s="1"/>
      <c r="O56" s="1"/>
    </row>
    <row r="57" spans="2:15" x14ac:dyDescent="0.25">
      <c r="B57" s="33">
        <v>56</v>
      </c>
      <c r="C57" s="5">
        <v>46091.334351342593</v>
      </c>
      <c r="E57" t="s">
        <v>98</v>
      </c>
      <c r="F57" t="s">
        <v>46</v>
      </c>
      <c r="G57">
        <f>G56</f>
        <v>1400</v>
      </c>
      <c r="H57" s="2"/>
      <c r="I57" s="2">
        <v>1111</v>
      </c>
      <c r="J57" s="2">
        <f>J56+Gastos[[#This Row],[Ingresa]]-Gastos[[#This Row],[Sale]]</f>
        <v>519721.00000000093</v>
      </c>
      <c r="K57" s="14">
        <f>Gastos[[#This Row],[Sale]]/Gastos[[#This Row],[Dólar]]</f>
        <v>0.79357142857142859</v>
      </c>
      <c r="L57" s="2" t="s">
        <v>74</v>
      </c>
      <c r="N57" s="1"/>
      <c r="O57" s="1"/>
    </row>
    <row r="58" spans="2:15" x14ac:dyDescent="0.25">
      <c r="B58" s="33">
        <v>57</v>
      </c>
      <c r="C58" s="5">
        <v>46091.336556041657</v>
      </c>
      <c r="D58" s="7" t="s">
        <v>99</v>
      </c>
      <c r="E58" s="13" t="s">
        <v>52</v>
      </c>
      <c r="F58" t="s">
        <v>17</v>
      </c>
      <c r="G58">
        <v>145</v>
      </c>
      <c r="H58" s="2">
        <v>1450</v>
      </c>
      <c r="I58" s="2"/>
      <c r="J58" s="2">
        <f>J57+Gastos[[#This Row],[Ingresa]]-Gastos[[#This Row],[Sale]]</f>
        <v>521171.00000000093</v>
      </c>
      <c r="K58" s="14">
        <f>Gastos[[#This Row],[Sale]]/Gastos[[#This Row],[Dólar]]</f>
        <v>0</v>
      </c>
      <c r="L58" s="2" t="s">
        <v>74</v>
      </c>
      <c r="N58" s="1"/>
      <c r="O58" s="1"/>
    </row>
    <row r="59" spans="2:15" x14ac:dyDescent="0.25">
      <c r="B59" s="33">
        <v>58</v>
      </c>
      <c r="C59" s="5">
        <v>46091.338040590279</v>
      </c>
      <c r="D59" t="s">
        <v>99</v>
      </c>
      <c r="E59" t="s">
        <v>53</v>
      </c>
      <c r="F59" t="s">
        <v>17</v>
      </c>
      <c r="G59">
        <v>1400</v>
      </c>
      <c r="H59" s="2">
        <v>14000</v>
      </c>
      <c r="I59" s="2"/>
      <c r="J59" s="2">
        <f>J58+Gastos[[#This Row],[Ingresa]]-Gastos[[#This Row],[Sale]]</f>
        <v>535171.00000000093</v>
      </c>
      <c r="K59" s="14">
        <f>Gastos[[#This Row],[Sale]]/Gastos[[#This Row],[Dólar]]</f>
        <v>0</v>
      </c>
      <c r="L59" s="2" t="s">
        <v>74</v>
      </c>
      <c r="N59" s="1"/>
      <c r="O59" s="1"/>
    </row>
    <row r="60" spans="2:15" x14ac:dyDescent="0.25">
      <c r="B60" s="33">
        <v>59</v>
      </c>
      <c r="C60" s="5">
        <v>46091.338304321624</v>
      </c>
      <c r="D60" t="s">
        <v>99</v>
      </c>
      <c r="E60" t="s">
        <v>53</v>
      </c>
      <c r="F60" t="s">
        <v>17</v>
      </c>
      <c r="G60">
        <v>1400</v>
      </c>
      <c r="H60" s="2">
        <v>14000</v>
      </c>
      <c r="I60" s="2"/>
      <c r="J60" s="2">
        <f>J59+Gastos[[#This Row],[Ingresa]]-Gastos[[#This Row],[Sale]]</f>
        <v>549171.00000000093</v>
      </c>
      <c r="K60" s="14">
        <f>Gastos[[#This Row],[Sale]]/Gastos[[#This Row],[Dólar]]</f>
        <v>0</v>
      </c>
      <c r="L60" s="2" t="s">
        <v>74</v>
      </c>
      <c r="N60" s="1"/>
      <c r="O60" s="1"/>
    </row>
    <row r="61" spans="2:15" x14ac:dyDescent="0.25">
      <c r="B61" s="33"/>
      <c r="C61" s="5"/>
      <c r="D61" s="7"/>
      <c r="E61" s="13"/>
      <c r="G61">
        <f t="shared" ref="G61:G92" si="5">G60</f>
        <v>1400</v>
      </c>
      <c r="H61" s="2"/>
      <c r="I61" s="2"/>
      <c r="J61" s="2">
        <f>J60+Gastos[[#This Row],[Ingresa]]-Gastos[[#This Row],[Sale]]</f>
        <v>549171.00000000093</v>
      </c>
      <c r="K61" s="14">
        <f>Gastos[[#This Row],[Sale]]/Gastos[[#This Row],[Dólar]]</f>
        <v>0</v>
      </c>
      <c r="L61" s="2"/>
      <c r="N61" s="1"/>
      <c r="O61" s="1"/>
    </row>
    <row r="62" spans="2:15" x14ac:dyDescent="0.25">
      <c r="B62" s="33"/>
      <c r="C62" s="5"/>
      <c r="G62">
        <f t="shared" si="5"/>
        <v>1400</v>
      </c>
      <c r="H62" s="2"/>
      <c r="I62" s="2"/>
      <c r="J62" s="2">
        <f>J61+Gastos[[#This Row],[Ingresa]]-Gastos[[#This Row],[Sale]]</f>
        <v>549171.00000000093</v>
      </c>
      <c r="K62" s="14">
        <f>Gastos[[#This Row],[Sale]]/Gastos[[#This Row],[Dólar]]</f>
        <v>0</v>
      </c>
      <c r="L62" s="2"/>
      <c r="N62" s="1"/>
      <c r="O62" s="1"/>
    </row>
    <row r="63" spans="2:15" x14ac:dyDescent="0.25">
      <c r="B63" s="33"/>
      <c r="C63" s="5"/>
      <c r="G63">
        <f t="shared" si="5"/>
        <v>1400</v>
      </c>
      <c r="H63" s="2"/>
      <c r="I63" s="2"/>
      <c r="J63" s="2">
        <f>J62+Gastos[[#This Row],[Ingresa]]-Gastos[[#This Row],[Sale]]</f>
        <v>549171.00000000093</v>
      </c>
      <c r="K63" s="14">
        <f>Gastos[[#This Row],[Sale]]/Gastos[[#This Row],[Dólar]]</f>
        <v>0</v>
      </c>
      <c r="L63" s="2"/>
      <c r="N63" s="1"/>
      <c r="O63" s="1"/>
    </row>
    <row r="64" spans="2:15" x14ac:dyDescent="0.25">
      <c r="B64" s="33"/>
      <c r="C64" s="5"/>
      <c r="G64">
        <f t="shared" si="5"/>
        <v>1400</v>
      </c>
      <c r="H64" s="2"/>
      <c r="I64" s="2"/>
      <c r="J64" s="2">
        <f>J63+Gastos[[#This Row],[Ingresa]]-Gastos[[#This Row],[Sale]]</f>
        <v>549171.00000000093</v>
      </c>
      <c r="K64" s="14">
        <f>Gastos[[#This Row],[Sale]]/Gastos[[#This Row],[Dólar]]</f>
        <v>0</v>
      </c>
      <c r="L64" s="2"/>
      <c r="N64" s="1"/>
      <c r="O64" s="1"/>
    </row>
    <row r="65" spans="2:15" x14ac:dyDescent="0.25">
      <c r="B65" s="33"/>
      <c r="C65" s="5"/>
      <c r="D65" s="7"/>
      <c r="E65" s="13"/>
      <c r="G65">
        <f t="shared" si="5"/>
        <v>1400</v>
      </c>
      <c r="H65" s="2"/>
      <c r="I65" s="2"/>
      <c r="J65" s="2">
        <f>J64+Gastos[[#This Row],[Ingresa]]-Gastos[[#This Row],[Sale]]</f>
        <v>549171.00000000093</v>
      </c>
      <c r="K65" s="14">
        <f>Gastos[[#This Row],[Sale]]/Gastos[[#This Row],[Dólar]]</f>
        <v>0</v>
      </c>
      <c r="L65" s="2"/>
      <c r="N65" s="1"/>
      <c r="O65" s="1"/>
    </row>
    <row r="66" spans="2:15" x14ac:dyDescent="0.25">
      <c r="B66" s="33"/>
      <c r="C66" s="5"/>
      <c r="E66" s="13"/>
      <c r="G66">
        <f t="shared" si="5"/>
        <v>1400</v>
      </c>
      <c r="H66" s="2"/>
      <c r="I66" s="2"/>
      <c r="J66" s="2">
        <f>J65+Gastos[[#This Row],[Ingresa]]-Gastos[[#This Row],[Sale]]</f>
        <v>549171.00000000093</v>
      </c>
      <c r="K66" s="14">
        <f>Gastos[[#This Row],[Sale]]/Gastos[[#This Row],[Dólar]]</f>
        <v>0</v>
      </c>
      <c r="L66" s="2"/>
      <c r="N66" s="1"/>
      <c r="O66" s="1"/>
    </row>
    <row r="67" spans="2:15" x14ac:dyDescent="0.25">
      <c r="B67" s="33"/>
      <c r="C67" s="5"/>
      <c r="G67">
        <f t="shared" si="5"/>
        <v>1400</v>
      </c>
      <c r="H67" s="2"/>
      <c r="I67" s="2"/>
      <c r="J67" s="2">
        <f>J66+Gastos[[#This Row],[Ingresa]]-Gastos[[#This Row],[Sale]]</f>
        <v>549171.00000000093</v>
      </c>
      <c r="K67" s="14">
        <f>Gastos[[#This Row],[Sale]]/Gastos[[#This Row],[Dólar]]</f>
        <v>0</v>
      </c>
      <c r="L67" s="2"/>
      <c r="N67" s="1"/>
      <c r="O67" s="1"/>
    </row>
    <row r="68" spans="2:15" x14ac:dyDescent="0.25">
      <c r="B68" s="33"/>
      <c r="C68" s="5"/>
      <c r="G68">
        <f t="shared" si="5"/>
        <v>1400</v>
      </c>
      <c r="H68" s="2"/>
      <c r="I68" s="2"/>
      <c r="J68" s="2">
        <f>J67+Gastos[[#This Row],[Ingresa]]-Gastos[[#This Row],[Sale]]</f>
        <v>549171.00000000093</v>
      </c>
      <c r="K68" s="14">
        <f>Gastos[[#This Row],[Sale]]/Gastos[[#This Row],[Dólar]]</f>
        <v>0</v>
      </c>
      <c r="L68" s="2"/>
      <c r="N68" s="1"/>
      <c r="O68" s="1"/>
    </row>
    <row r="69" spans="2:15" x14ac:dyDescent="0.25">
      <c r="B69" s="33"/>
      <c r="C69" s="5"/>
      <c r="D69" s="7"/>
      <c r="E69" s="13"/>
      <c r="G69">
        <f t="shared" si="5"/>
        <v>1400</v>
      </c>
      <c r="H69" s="2"/>
      <c r="I69" s="2"/>
      <c r="J69" s="2">
        <f>J68+Gastos[[#This Row],[Ingresa]]-Gastos[[#This Row],[Sale]]</f>
        <v>549171.00000000093</v>
      </c>
      <c r="K69" s="14">
        <f>Gastos[[#This Row],[Sale]]/Gastos[[#This Row],[Dólar]]</f>
        <v>0</v>
      </c>
      <c r="L69" s="2"/>
      <c r="N69" s="1"/>
      <c r="O69" s="1"/>
    </row>
    <row r="70" spans="2:15" x14ac:dyDescent="0.25">
      <c r="B70" s="33"/>
      <c r="C70" s="5"/>
      <c r="G70">
        <f t="shared" si="5"/>
        <v>1400</v>
      </c>
      <c r="H70" s="2"/>
      <c r="I70" s="2"/>
      <c r="J70" s="2">
        <f>J69+Gastos[[#This Row],[Ingresa]]-Gastos[[#This Row],[Sale]]</f>
        <v>549171.00000000093</v>
      </c>
      <c r="K70" s="14">
        <f>Gastos[[#This Row],[Sale]]/Gastos[[#This Row],[Dólar]]</f>
        <v>0</v>
      </c>
      <c r="L70" s="2"/>
      <c r="N70" s="1"/>
      <c r="O70" s="1"/>
    </row>
    <row r="71" spans="2:15" x14ac:dyDescent="0.25">
      <c r="B71" s="33"/>
      <c r="C71" s="5"/>
      <c r="G71">
        <f t="shared" si="5"/>
        <v>1400</v>
      </c>
      <c r="H71" s="2"/>
      <c r="I71" s="2"/>
      <c r="J71" s="2">
        <f>J70+Gastos[[#This Row],[Ingresa]]-Gastos[[#This Row],[Sale]]</f>
        <v>549171.00000000093</v>
      </c>
      <c r="K71" s="14">
        <f>Gastos[[#This Row],[Sale]]/Gastos[[#This Row],[Dólar]]</f>
        <v>0</v>
      </c>
      <c r="L71" s="2"/>
      <c r="N71" s="1"/>
      <c r="O71" s="1"/>
    </row>
    <row r="72" spans="2:15" x14ac:dyDescent="0.25">
      <c r="B72" s="33"/>
      <c r="C72" s="5"/>
      <c r="G72">
        <f t="shared" si="5"/>
        <v>1400</v>
      </c>
      <c r="H72" s="2"/>
      <c r="I72" s="2"/>
      <c r="J72" s="2">
        <f>J71+Gastos[[#This Row],[Ingresa]]-Gastos[[#This Row],[Sale]]</f>
        <v>549171.00000000093</v>
      </c>
      <c r="K72" s="14">
        <f>Gastos[[#This Row],[Sale]]/Gastos[[#This Row],[Dólar]]</f>
        <v>0</v>
      </c>
      <c r="L72" s="2"/>
      <c r="N72" s="1"/>
      <c r="O72" s="1"/>
    </row>
    <row r="73" spans="2:15" x14ac:dyDescent="0.25">
      <c r="B73" s="33"/>
      <c r="C73" s="5"/>
      <c r="G73">
        <f t="shared" si="5"/>
        <v>1400</v>
      </c>
      <c r="H73" s="2"/>
      <c r="I73" s="2"/>
      <c r="J73" s="2">
        <f>J72+Gastos[[#This Row],[Ingresa]]-Gastos[[#This Row],[Sale]]</f>
        <v>549171.00000000093</v>
      </c>
      <c r="K73" s="14">
        <f>Gastos[[#This Row],[Sale]]/Gastos[[#This Row],[Dólar]]</f>
        <v>0</v>
      </c>
      <c r="L73" s="2"/>
      <c r="N73" s="1"/>
      <c r="O73" s="1"/>
    </row>
    <row r="74" spans="2:15" x14ac:dyDescent="0.25">
      <c r="B74" s="33"/>
      <c r="C74" s="5"/>
      <c r="G74">
        <f t="shared" si="5"/>
        <v>1400</v>
      </c>
      <c r="H74" s="2"/>
      <c r="I74" s="2"/>
      <c r="J74" s="2">
        <f>J73+Gastos[[#This Row],[Ingresa]]-Gastos[[#This Row],[Sale]]</f>
        <v>549171.00000000093</v>
      </c>
      <c r="K74" s="14">
        <f>Gastos[[#This Row],[Sale]]/Gastos[[#This Row],[Dólar]]</f>
        <v>0</v>
      </c>
      <c r="L74" s="2"/>
      <c r="N74" s="1"/>
      <c r="O74" s="1"/>
    </row>
    <row r="75" spans="2:15" x14ac:dyDescent="0.25">
      <c r="B75" s="33"/>
      <c r="C75" s="5"/>
      <c r="G75">
        <f t="shared" si="5"/>
        <v>1400</v>
      </c>
      <c r="H75" s="2"/>
      <c r="I75" s="2"/>
      <c r="J75" s="2">
        <f>J74+Gastos[[#This Row],[Ingresa]]-Gastos[[#This Row],[Sale]]</f>
        <v>549171.00000000093</v>
      </c>
      <c r="K75" s="14">
        <f>Gastos[[#This Row],[Sale]]/Gastos[[#This Row],[Dólar]]</f>
        <v>0</v>
      </c>
      <c r="L75" s="2"/>
      <c r="N75" s="1"/>
      <c r="O75" s="1"/>
    </row>
    <row r="76" spans="2:15" x14ac:dyDescent="0.25">
      <c r="B76" s="33"/>
      <c r="C76" s="5"/>
      <c r="G76">
        <f t="shared" si="5"/>
        <v>1400</v>
      </c>
      <c r="H76" s="2"/>
      <c r="I76" s="2"/>
      <c r="J76" s="2">
        <f>J75+Gastos[[#This Row],[Ingresa]]-Gastos[[#This Row],[Sale]]</f>
        <v>549171.00000000093</v>
      </c>
      <c r="K76" s="14">
        <f>Gastos[[#This Row],[Sale]]/Gastos[[#This Row],[Dólar]]</f>
        <v>0</v>
      </c>
      <c r="L76" s="2"/>
      <c r="N76" s="1"/>
      <c r="O76" s="1"/>
    </row>
    <row r="77" spans="2:15" x14ac:dyDescent="0.25">
      <c r="B77" s="33"/>
      <c r="C77" s="5"/>
      <c r="G77">
        <f t="shared" si="5"/>
        <v>1400</v>
      </c>
      <c r="H77" s="2"/>
      <c r="I77" s="2"/>
      <c r="J77" s="2">
        <f>J76+Gastos[[#This Row],[Ingresa]]-Gastos[[#This Row],[Sale]]</f>
        <v>549171.00000000093</v>
      </c>
      <c r="K77" s="14">
        <f>Gastos[[#This Row],[Sale]]/Gastos[[#This Row],[Dólar]]</f>
        <v>0</v>
      </c>
      <c r="L77" s="2"/>
      <c r="N77" s="1"/>
      <c r="O77" s="1"/>
    </row>
    <row r="78" spans="2:15" x14ac:dyDescent="0.25">
      <c r="B78" s="33"/>
      <c r="C78" s="5"/>
      <c r="G78">
        <f t="shared" si="5"/>
        <v>1400</v>
      </c>
      <c r="H78" s="2"/>
      <c r="I78" s="2"/>
      <c r="J78" s="2">
        <f>J77+Gastos[[#This Row],[Ingresa]]-Gastos[[#This Row],[Sale]]</f>
        <v>549171.00000000093</v>
      </c>
      <c r="K78" s="14">
        <f>Gastos[[#This Row],[Sale]]/Gastos[[#This Row],[Dólar]]</f>
        <v>0</v>
      </c>
      <c r="L78" s="2"/>
      <c r="N78" s="1"/>
      <c r="O78" s="1"/>
    </row>
    <row r="79" spans="2:15" x14ac:dyDescent="0.25">
      <c r="B79" s="33"/>
      <c r="C79" s="5"/>
      <c r="G79">
        <f t="shared" si="5"/>
        <v>1400</v>
      </c>
      <c r="H79" s="2"/>
      <c r="I79" s="2"/>
      <c r="J79" s="2">
        <f>J78+Gastos[[#This Row],[Ingresa]]-Gastos[[#This Row],[Sale]]</f>
        <v>549171.00000000093</v>
      </c>
      <c r="K79" s="14">
        <f>Gastos[[#This Row],[Sale]]/Gastos[[#This Row],[Dólar]]</f>
        <v>0</v>
      </c>
      <c r="L79" s="2"/>
      <c r="N79" s="1"/>
      <c r="O79" s="1"/>
    </row>
    <row r="80" spans="2:15" x14ac:dyDescent="0.25">
      <c r="B80" s="33"/>
      <c r="C80" s="5"/>
      <c r="G80">
        <f t="shared" si="5"/>
        <v>1400</v>
      </c>
      <c r="H80" s="2"/>
      <c r="I80" s="2"/>
      <c r="J80" s="2">
        <f>J79+Gastos[[#This Row],[Ingresa]]-Gastos[[#This Row],[Sale]]</f>
        <v>549171.00000000093</v>
      </c>
      <c r="K80" s="14">
        <f>Gastos[[#This Row],[Sale]]/Gastos[[#This Row],[Dólar]]</f>
        <v>0</v>
      </c>
      <c r="L80" s="2"/>
      <c r="N80" s="1"/>
      <c r="O80" s="1"/>
    </row>
    <row r="81" spans="1:16" x14ac:dyDescent="0.25">
      <c r="A81" t="s">
        <v>100</v>
      </c>
      <c r="B81" s="33"/>
      <c r="C81" s="5"/>
      <c r="G81">
        <f t="shared" si="5"/>
        <v>1400</v>
      </c>
      <c r="H81" s="2"/>
      <c r="I81" s="2"/>
      <c r="J81" s="2">
        <f>J80+Gastos[[#This Row],[Ingresa]]-Gastos[[#This Row],[Sale]]</f>
        <v>549171.00000000093</v>
      </c>
      <c r="K81" s="14">
        <f>Gastos[[#This Row],[Sale]]/Gastos[[#This Row],[Dólar]]</f>
        <v>0</v>
      </c>
      <c r="L81" s="2"/>
      <c r="N81" s="1"/>
      <c r="O81" s="1"/>
    </row>
    <row r="82" spans="1:16" x14ac:dyDescent="0.25">
      <c r="B82" s="33"/>
      <c r="C82" s="5"/>
      <c r="G82">
        <f t="shared" si="5"/>
        <v>1400</v>
      </c>
      <c r="H82" s="2"/>
      <c r="I82" s="2"/>
      <c r="J82" s="2">
        <f>J81+Gastos[[#This Row],[Ingresa]]-Gastos[[#This Row],[Sale]]</f>
        <v>549171.00000000093</v>
      </c>
      <c r="K82" s="14">
        <f>Gastos[[#This Row],[Sale]]/Gastos[[#This Row],[Dólar]]</f>
        <v>0</v>
      </c>
      <c r="L82" s="2"/>
      <c r="N82" s="1"/>
      <c r="O82" s="1"/>
    </row>
    <row r="83" spans="1:16" x14ac:dyDescent="0.25">
      <c r="B83" s="33"/>
      <c r="C83" s="5"/>
      <c r="G83">
        <f t="shared" si="5"/>
        <v>1400</v>
      </c>
      <c r="H83" s="2"/>
      <c r="I83" s="2"/>
      <c r="J83" s="2">
        <f>J82+Gastos[[#This Row],[Ingresa]]-Gastos[[#This Row],[Sale]]</f>
        <v>549171.00000000093</v>
      </c>
      <c r="K83" s="14">
        <f>Gastos[[#This Row],[Sale]]/Gastos[[#This Row],[Dólar]]</f>
        <v>0</v>
      </c>
      <c r="L83" s="2"/>
      <c r="N83" s="1"/>
      <c r="O83" s="1"/>
    </row>
    <row r="84" spans="1:16" x14ac:dyDescent="0.25">
      <c r="B84" s="33"/>
      <c r="C84" s="5"/>
      <c r="D84" s="7"/>
      <c r="E84" s="13"/>
      <c r="G84">
        <f t="shared" si="5"/>
        <v>1400</v>
      </c>
      <c r="H84" s="2"/>
      <c r="I84" s="2"/>
      <c r="J84" s="2">
        <f>J83+Gastos[[#This Row],[Ingresa]]-Gastos[[#This Row],[Sale]]</f>
        <v>549171.00000000093</v>
      </c>
      <c r="K84" s="14">
        <f>Gastos[[#This Row],[Sale]]/Gastos[[#This Row],[Dólar]]</f>
        <v>0</v>
      </c>
      <c r="L84" s="2"/>
      <c r="N84" s="1"/>
      <c r="O84" s="1"/>
    </row>
    <row r="85" spans="1:16" x14ac:dyDescent="0.25">
      <c r="B85" s="33"/>
      <c r="C85" s="5"/>
      <c r="G85">
        <f t="shared" si="5"/>
        <v>1400</v>
      </c>
      <c r="H85" s="2"/>
      <c r="I85" s="2"/>
      <c r="J85" s="2">
        <f>J84+Gastos[[#This Row],[Ingresa]]-Gastos[[#This Row],[Sale]]</f>
        <v>549171.00000000093</v>
      </c>
      <c r="K85" s="14">
        <f>Gastos[[#This Row],[Sale]]/Gastos[[#This Row],[Dólar]]</f>
        <v>0</v>
      </c>
      <c r="L85" s="2"/>
      <c r="N85" s="1"/>
      <c r="O85" s="1"/>
    </row>
    <row r="86" spans="1:16" x14ac:dyDescent="0.25">
      <c r="B86" s="33"/>
      <c r="C86" s="5"/>
      <c r="G86">
        <f t="shared" si="5"/>
        <v>1400</v>
      </c>
      <c r="H86" s="2"/>
      <c r="I86" s="2"/>
      <c r="J86" s="2">
        <f>J85+Gastos[[#This Row],[Ingresa]]-Gastos[[#This Row],[Sale]]</f>
        <v>549171.00000000093</v>
      </c>
      <c r="K86" s="14">
        <f>Gastos[[#This Row],[Sale]]/Gastos[[#This Row],[Dólar]]</f>
        <v>0</v>
      </c>
      <c r="L86" s="2"/>
      <c r="N86" s="1"/>
      <c r="O86" s="1"/>
    </row>
    <row r="87" spans="1:16" x14ac:dyDescent="0.25">
      <c r="B87" s="33"/>
      <c r="C87" s="5"/>
      <c r="G87">
        <f t="shared" si="5"/>
        <v>1400</v>
      </c>
      <c r="H87" s="2"/>
      <c r="I87" s="2"/>
      <c r="J87" s="2">
        <f>J86+Gastos[[#This Row],[Ingresa]]-Gastos[[#This Row],[Sale]]</f>
        <v>549171.00000000093</v>
      </c>
      <c r="K87" s="14">
        <f>Gastos[[#This Row],[Sale]]/Gastos[[#This Row],[Dólar]]</f>
        <v>0</v>
      </c>
      <c r="L87" s="2"/>
      <c r="N87" s="1"/>
      <c r="O87" s="1"/>
    </row>
    <row r="88" spans="1:16" x14ac:dyDescent="0.25">
      <c r="B88" s="33"/>
      <c r="C88" s="5"/>
      <c r="G88">
        <f t="shared" si="5"/>
        <v>1400</v>
      </c>
      <c r="H88" s="2"/>
      <c r="I88" s="2"/>
      <c r="J88" s="2">
        <f>J87+Gastos[[#This Row],[Ingresa]]-Gastos[[#This Row],[Sale]]</f>
        <v>549171.00000000093</v>
      </c>
      <c r="K88" s="14">
        <f>Gastos[[#This Row],[Sale]]/Gastos[[#This Row],[Dólar]]</f>
        <v>0</v>
      </c>
      <c r="L88" s="2"/>
      <c r="M88" s="3"/>
      <c r="N88" s="1"/>
      <c r="O88" s="1"/>
    </row>
    <row r="89" spans="1:16" x14ac:dyDescent="0.25">
      <c r="B89" s="33"/>
      <c r="C89" s="5"/>
      <c r="G89">
        <f t="shared" si="5"/>
        <v>1400</v>
      </c>
      <c r="H89" s="2"/>
      <c r="I89" s="2"/>
      <c r="J89" s="2">
        <f>J88+Gastos[[#This Row],[Ingresa]]-Gastos[[#This Row],[Sale]]</f>
        <v>549171.00000000093</v>
      </c>
      <c r="K89" s="14">
        <f>Gastos[[#This Row],[Sale]]/Gastos[[#This Row],[Dólar]]</f>
        <v>0</v>
      </c>
      <c r="L89" s="2"/>
      <c r="N89" s="1"/>
      <c r="O89" s="1"/>
    </row>
    <row r="90" spans="1:16" x14ac:dyDescent="0.25">
      <c r="B90" s="33"/>
      <c r="C90" s="5"/>
      <c r="G90">
        <f t="shared" si="5"/>
        <v>1400</v>
      </c>
      <c r="H90" s="2"/>
      <c r="I90" s="2"/>
      <c r="J90" s="2">
        <f>J89+Gastos[[#This Row],[Ingresa]]-Gastos[[#This Row],[Sale]]</f>
        <v>549171.00000000093</v>
      </c>
      <c r="K90" s="14">
        <f>Gastos[[#This Row],[Sale]]/Gastos[[#This Row],[Dólar]]</f>
        <v>0</v>
      </c>
      <c r="L90" s="2"/>
      <c r="N90" s="1"/>
      <c r="O90" s="1"/>
    </row>
    <row r="91" spans="1:16" x14ac:dyDescent="0.25">
      <c r="B91" s="33"/>
      <c r="C91" s="5"/>
      <c r="G91">
        <f t="shared" si="5"/>
        <v>1400</v>
      </c>
      <c r="H91" s="2"/>
      <c r="I91" s="2"/>
      <c r="J91" s="2">
        <f>J90+Gastos[[#This Row],[Ingresa]]-Gastos[[#This Row],[Sale]]</f>
        <v>549171.00000000093</v>
      </c>
      <c r="K91" s="14">
        <f>Gastos[[#This Row],[Sale]]/Gastos[[#This Row],[Dólar]]</f>
        <v>0</v>
      </c>
      <c r="L91" s="2"/>
      <c r="N91" s="1"/>
      <c r="O91" s="1"/>
    </row>
    <row r="92" spans="1:16" x14ac:dyDescent="0.25">
      <c r="B92" s="33"/>
      <c r="C92" s="5"/>
      <c r="G92">
        <f t="shared" si="5"/>
        <v>1400</v>
      </c>
      <c r="H92" s="2"/>
      <c r="I92" s="2"/>
      <c r="J92" s="2">
        <f>J91+Gastos[[#This Row],[Ingresa]]-Gastos[[#This Row],[Sale]]</f>
        <v>549171.00000000093</v>
      </c>
      <c r="K92" s="14">
        <f>Gastos[[#This Row],[Sale]]/Gastos[[#This Row],[Dólar]]</f>
        <v>0</v>
      </c>
      <c r="L92" s="2"/>
      <c r="N92" s="1"/>
      <c r="O92" s="1"/>
    </row>
    <row r="93" spans="1:16" x14ac:dyDescent="0.25">
      <c r="B93" s="33"/>
      <c r="C93" s="5"/>
      <c r="D93" s="7"/>
      <c r="E93" s="13"/>
      <c r="G93">
        <f t="shared" ref="G93:G124" si="6">G92</f>
        <v>1400</v>
      </c>
      <c r="H93" s="2"/>
      <c r="I93" s="2"/>
      <c r="J93" s="2">
        <f>J92+Gastos[[#This Row],[Ingresa]]-Gastos[[#This Row],[Sale]]</f>
        <v>549171.00000000093</v>
      </c>
      <c r="K93" s="14">
        <f>Gastos[[#This Row],[Sale]]/Gastos[[#This Row],[Dólar]]</f>
        <v>0</v>
      </c>
      <c r="L93" s="2"/>
      <c r="N93" s="1"/>
      <c r="O93" s="1"/>
    </row>
    <row r="94" spans="1:16" x14ac:dyDescent="0.25">
      <c r="B94" s="33"/>
      <c r="C94" s="5"/>
      <c r="G94">
        <f t="shared" si="6"/>
        <v>1400</v>
      </c>
      <c r="H94" s="2"/>
      <c r="I94" s="2"/>
      <c r="J94" s="2">
        <f>J93+Gastos[[#This Row],[Ingresa]]-Gastos[[#This Row],[Sale]]</f>
        <v>549171.00000000093</v>
      </c>
      <c r="K94" s="14">
        <f>Gastos[[#This Row],[Sale]]/Gastos[[#This Row],[Dólar]]</f>
        <v>0</v>
      </c>
      <c r="L94" s="2"/>
      <c r="N94" s="1"/>
      <c r="O94" s="1"/>
    </row>
    <row r="95" spans="1:16" x14ac:dyDescent="0.25">
      <c r="B95" s="33"/>
      <c r="C95" s="5"/>
      <c r="G95">
        <f t="shared" si="6"/>
        <v>1400</v>
      </c>
      <c r="H95" s="2"/>
      <c r="I95" s="2"/>
      <c r="J95" s="2">
        <f>J94+Gastos[[#This Row],[Ingresa]]-Gastos[[#This Row],[Sale]]</f>
        <v>549171.00000000093</v>
      </c>
      <c r="K95" s="14">
        <f>Gastos[[#This Row],[Sale]]/Gastos[[#This Row],[Dólar]]</f>
        <v>0</v>
      </c>
      <c r="L95" s="2"/>
      <c r="N95" s="33"/>
      <c r="O95" s="11"/>
      <c r="P95" s="2"/>
    </row>
    <row r="96" spans="1:16" x14ac:dyDescent="0.25">
      <c r="B96" s="33"/>
      <c r="C96" s="5"/>
      <c r="G96">
        <f t="shared" si="6"/>
        <v>1400</v>
      </c>
      <c r="H96" s="2"/>
      <c r="I96" s="2"/>
      <c r="J96" s="2">
        <f>J95+Gastos[[#This Row],[Ingresa]]-Gastos[[#This Row],[Sale]]</f>
        <v>549171.00000000093</v>
      </c>
      <c r="K96" s="14">
        <f>Gastos[[#This Row],[Sale]]/Gastos[[#This Row],[Dólar]]</f>
        <v>0</v>
      </c>
      <c r="L96" s="2"/>
      <c r="N96" s="33"/>
      <c r="O96" s="11"/>
      <c r="P96" s="2"/>
    </row>
    <row r="97" spans="2:16" x14ac:dyDescent="0.25">
      <c r="B97" s="33"/>
      <c r="C97" s="5"/>
      <c r="G97">
        <f t="shared" si="6"/>
        <v>1400</v>
      </c>
      <c r="H97" s="2"/>
      <c r="I97" s="2"/>
      <c r="J97" s="2">
        <f>J96+Gastos[[#This Row],[Ingresa]]-Gastos[[#This Row],[Sale]]</f>
        <v>549171.00000000093</v>
      </c>
      <c r="K97" s="14">
        <f>Gastos[[#This Row],[Sale]]/Gastos[[#This Row],[Dólar]]</f>
        <v>0</v>
      </c>
      <c r="L97" s="2"/>
      <c r="N97" s="33"/>
      <c r="O97" s="11"/>
      <c r="P97" s="2"/>
    </row>
    <row r="98" spans="2:16" x14ac:dyDescent="0.25">
      <c r="B98" s="33"/>
      <c r="C98" s="5"/>
      <c r="G98">
        <f t="shared" si="6"/>
        <v>1400</v>
      </c>
      <c r="H98" s="2"/>
      <c r="I98" s="2"/>
      <c r="J98" s="2">
        <f>J97+Gastos[[#This Row],[Ingresa]]-Gastos[[#This Row],[Sale]]</f>
        <v>549171.00000000093</v>
      </c>
      <c r="K98" s="14">
        <f>Gastos[[#This Row],[Sale]]/Gastos[[#This Row],[Dólar]]</f>
        <v>0</v>
      </c>
      <c r="L98" s="2"/>
      <c r="N98" s="33"/>
      <c r="O98" s="11"/>
      <c r="P98" s="2"/>
    </row>
    <row r="99" spans="2:16" x14ac:dyDescent="0.25">
      <c r="B99" s="33"/>
      <c r="C99" s="5"/>
      <c r="G99">
        <f t="shared" si="6"/>
        <v>1400</v>
      </c>
      <c r="H99" s="2"/>
      <c r="I99" s="2"/>
      <c r="J99" s="2">
        <f>J98+Gastos[[#This Row],[Ingresa]]-Gastos[[#This Row],[Sale]]</f>
        <v>549171.00000000093</v>
      </c>
      <c r="K99" s="14">
        <f>Gastos[[#This Row],[Sale]]/Gastos[[#This Row],[Dólar]]</f>
        <v>0</v>
      </c>
      <c r="L99" s="2"/>
      <c r="N99" s="1"/>
      <c r="O99" s="12"/>
      <c r="P99" s="2"/>
    </row>
    <row r="100" spans="2:16" x14ac:dyDescent="0.25">
      <c r="B100" s="33"/>
      <c r="C100" s="5"/>
      <c r="G100">
        <f t="shared" si="6"/>
        <v>1400</v>
      </c>
      <c r="H100" s="2"/>
      <c r="I100" s="2"/>
      <c r="J100" s="2">
        <f>J99+Gastos[[#This Row],[Ingresa]]-Gastos[[#This Row],[Sale]]</f>
        <v>549171.00000000093</v>
      </c>
      <c r="K100" s="14">
        <f>Gastos[[#This Row],[Sale]]/Gastos[[#This Row],[Dólar]]</f>
        <v>0</v>
      </c>
      <c r="L100" s="2"/>
      <c r="N100" s="1"/>
      <c r="O100" s="1"/>
      <c r="P100" s="2"/>
    </row>
    <row r="101" spans="2:16" x14ac:dyDescent="0.25">
      <c r="B101" s="33"/>
      <c r="C101" s="5"/>
      <c r="G101">
        <f t="shared" si="6"/>
        <v>1400</v>
      </c>
      <c r="H101" s="2"/>
      <c r="I101" s="2"/>
      <c r="J101" s="2">
        <f>J100+Gastos[[#This Row],[Ingresa]]-Gastos[[#This Row],[Sale]]</f>
        <v>549171.00000000093</v>
      </c>
      <c r="K101" s="14">
        <f>Gastos[[#This Row],[Sale]]/Gastos[[#This Row],[Dólar]]</f>
        <v>0</v>
      </c>
      <c r="L101" s="2"/>
      <c r="N101" s="1"/>
      <c r="O101" s="1"/>
      <c r="P101" s="2"/>
    </row>
    <row r="102" spans="2:16" x14ac:dyDescent="0.25">
      <c r="B102" s="33"/>
      <c r="C102" s="5"/>
      <c r="G102">
        <f t="shared" si="6"/>
        <v>1400</v>
      </c>
      <c r="H102" s="2"/>
      <c r="I102" s="2"/>
      <c r="J102" s="2">
        <f>J101+Gastos[[#This Row],[Ingresa]]-Gastos[[#This Row],[Sale]]</f>
        <v>549171.00000000093</v>
      </c>
      <c r="K102" s="14">
        <f>Gastos[[#This Row],[Sale]]/Gastos[[#This Row],[Dólar]]</f>
        <v>0</v>
      </c>
      <c r="L102" s="2"/>
      <c r="N102" s="1"/>
      <c r="O102" s="1"/>
      <c r="P102" s="2"/>
    </row>
    <row r="103" spans="2:16" x14ac:dyDescent="0.25">
      <c r="B103" s="33"/>
      <c r="C103" s="5"/>
      <c r="G103">
        <f t="shared" si="6"/>
        <v>1400</v>
      </c>
      <c r="H103" s="2"/>
      <c r="I103" s="2"/>
      <c r="J103" s="2">
        <f>J102+Gastos[[#This Row],[Ingresa]]-Gastos[[#This Row],[Sale]]</f>
        <v>549171.00000000093</v>
      </c>
      <c r="K103" s="14">
        <f>Gastos[[#This Row],[Sale]]/Gastos[[#This Row],[Dólar]]</f>
        <v>0</v>
      </c>
      <c r="L103" s="2"/>
      <c r="N103" s="1"/>
      <c r="O103" s="1"/>
      <c r="P103" s="2"/>
    </row>
    <row r="104" spans="2:16" x14ac:dyDescent="0.25">
      <c r="B104" s="33"/>
      <c r="C104" s="5"/>
      <c r="G104">
        <f t="shared" si="6"/>
        <v>1400</v>
      </c>
      <c r="H104" s="2"/>
      <c r="I104" s="2"/>
      <c r="J104" s="2">
        <f>J103+Gastos[[#This Row],[Ingresa]]-Gastos[[#This Row],[Sale]]</f>
        <v>549171.00000000093</v>
      </c>
      <c r="K104" s="14">
        <f>Gastos[[#This Row],[Sale]]/Gastos[[#This Row],[Dólar]]</f>
        <v>0</v>
      </c>
      <c r="L104" s="2"/>
      <c r="N104" s="1"/>
      <c r="O104" s="1"/>
      <c r="P104" s="2"/>
    </row>
    <row r="105" spans="2:16" x14ac:dyDescent="0.25">
      <c r="B105" s="33"/>
      <c r="C105" s="5"/>
      <c r="G105">
        <f t="shared" si="6"/>
        <v>1400</v>
      </c>
      <c r="H105" s="2"/>
      <c r="I105" s="2"/>
      <c r="J105" s="2">
        <f>J104+Gastos[[#This Row],[Ingresa]]-Gastos[[#This Row],[Sale]]</f>
        <v>549171.00000000093</v>
      </c>
      <c r="K105" s="14">
        <f>Gastos[[#This Row],[Sale]]/Gastos[[#This Row],[Dólar]]</f>
        <v>0</v>
      </c>
      <c r="L105" s="2"/>
      <c r="N105" s="1"/>
      <c r="O105" s="1"/>
      <c r="P105" s="2"/>
    </row>
    <row r="106" spans="2:16" x14ac:dyDescent="0.25">
      <c r="B106" s="33"/>
      <c r="C106" s="5"/>
      <c r="G106">
        <f t="shared" si="6"/>
        <v>1400</v>
      </c>
      <c r="H106" s="2"/>
      <c r="I106" s="2"/>
      <c r="J106" s="2">
        <f>J105+Gastos[[#This Row],[Ingresa]]-Gastos[[#This Row],[Sale]]</f>
        <v>549171.00000000093</v>
      </c>
      <c r="K106" s="14">
        <f>Gastos[[#This Row],[Sale]]/Gastos[[#This Row],[Dólar]]</f>
        <v>0</v>
      </c>
      <c r="L106" s="2"/>
      <c r="N106" s="1"/>
      <c r="O106" s="1"/>
      <c r="P106" s="2"/>
    </row>
    <row r="107" spans="2:16" x14ac:dyDescent="0.25">
      <c r="B107" s="33"/>
      <c r="C107" s="5"/>
      <c r="G107">
        <f t="shared" si="6"/>
        <v>1400</v>
      </c>
      <c r="H107" s="2"/>
      <c r="I107" s="2"/>
      <c r="J107" s="2">
        <f>J106+Gastos[[#This Row],[Ingresa]]-Gastos[[#This Row],[Sale]]</f>
        <v>549171.00000000093</v>
      </c>
      <c r="K107" s="14">
        <f>Gastos[[#This Row],[Sale]]/Gastos[[#This Row],[Dólar]]</f>
        <v>0</v>
      </c>
      <c r="L107" s="2"/>
      <c r="N107" s="1"/>
      <c r="O107" s="1"/>
    </row>
    <row r="108" spans="2:16" x14ac:dyDescent="0.25">
      <c r="B108" s="33"/>
      <c r="C108" s="5"/>
      <c r="G108">
        <f t="shared" si="6"/>
        <v>1400</v>
      </c>
      <c r="H108" s="2"/>
      <c r="I108" s="2"/>
      <c r="J108" s="2">
        <f>J107+Gastos[[#This Row],[Ingresa]]-Gastos[[#This Row],[Sale]]</f>
        <v>549171.00000000093</v>
      </c>
      <c r="K108" s="14">
        <f>Gastos[[#This Row],[Sale]]/Gastos[[#This Row],[Dólar]]</f>
        <v>0</v>
      </c>
      <c r="L108" s="2"/>
      <c r="N108" s="1"/>
      <c r="O108" s="1"/>
    </row>
    <row r="109" spans="2:16" x14ac:dyDescent="0.25">
      <c r="B109" s="33"/>
      <c r="C109" s="5"/>
      <c r="G109">
        <f t="shared" si="6"/>
        <v>1400</v>
      </c>
      <c r="H109" s="2"/>
      <c r="I109" s="2"/>
      <c r="J109" s="2">
        <f>J108+Gastos[[#This Row],[Ingresa]]-Gastos[[#This Row],[Sale]]</f>
        <v>549171.00000000093</v>
      </c>
      <c r="K109" s="14">
        <f>Gastos[[#This Row],[Sale]]/Gastos[[#This Row],[Dólar]]</f>
        <v>0</v>
      </c>
      <c r="L109" s="2"/>
      <c r="N109" s="1"/>
      <c r="O109" s="1"/>
    </row>
    <row r="110" spans="2:16" x14ac:dyDescent="0.25">
      <c r="B110" s="33"/>
      <c r="C110" s="5"/>
      <c r="G110">
        <f t="shared" si="6"/>
        <v>1400</v>
      </c>
      <c r="H110" s="2"/>
      <c r="I110" s="2"/>
      <c r="J110" s="2">
        <f>J109+Gastos[[#This Row],[Ingresa]]-Gastos[[#This Row],[Sale]]</f>
        <v>549171.00000000093</v>
      </c>
      <c r="K110" s="14">
        <f>Gastos[[#This Row],[Sale]]/Gastos[[#This Row],[Dólar]]</f>
        <v>0</v>
      </c>
      <c r="L110" s="2"/>
      <c r="N110" s="1"/>
      <c r="O110" s="1"/>
    </row>
    <row r="111" spans="2:16" x14ac:dyDescent="0.25">
      <c r="B111" s="33"/>
      <c r="C111" s="5"/>
      <c r="G111">
        <f t="shared" si="6"/>
        <v>1400</v>
      </c>
      <c r="H111" s="2"/>
      <c r="I111" s="2"/>
      <c r="J111" s="2">
        <f>J110+Gastos[[#This Row],[Ingresa]]-Gastos[[#This Row],[Sale]]</f>
        <v>549171.00000000093</v>
      </c>
      <c r="K111" s="14">
        <f>Gastos[[#This Row],[Sale]]/Gastos[[#This Row],[Dólar]]</f>
        <v>0</v>
      </c>
      <c r="L111" s="2"/>
      <c r="N111" s="1"/>
      <c r="O111" s="1"/>
    </row>
    <row r="112" spans="2:16" x14ac:dyDescent="0.25">
      <c r="B112" s="33"/>
      <c r="C112" s="5"/>
      <c r="G112">
        <f t="shared" si="6"/>
        <v>1400</v>
      </c>
      <c r="H112" s="2"/>
      <c r="I112" s="2"/>
      <c r="J112" s="2">
        <f>J111+Gastos[[#This Row],[Ingresa]]-Gastos[[#This Row],[Sale]]</f>
        <v>549171.00000000093</v>
      </c>
      <c r="K112" s="14">
        <f>Gastos[[#This Row],[Sale]]/Gastos[[#This Row],[Dólar]]</f>
        <v>0</v>
      </c>
      <c r="L112" s="2"/>
      <c r="N112" s="1"/>
      <c r="O112" s="1"/>
    </row>
    <row r="113" spans="2:16" x14ac:dyDescent="0.25">
      <c r="B113" s="33"/>
      <c r="C113" s="5"/>
      <c r="G113">
        <f t="shared" si="6"/>
        <v>1400</v>
      </c>
      <c r="H113" s="2"/>
      <c r="I113" s="2"/>
      <c r="J113" s="2">
        <f>J112+Gastos[[#This Row],[Ingresa]]-Gastos[[#This Row],[Sale]]</f>
        <v>549171.00000000093</v>
      </c>
      <c r="K113" s="14">
        <f>Gastos[[#This Row],[Sale]]/Gastos[[#This Row],[Dólar]]</f>
        <v>0</v>
      </c>
      <c r="L113" s="2"/>
      <c r="N113" s="1"/>
      <c r="O113" s="1"/>
    </row>
    <row r="114" spans="2:16" x14ac:dyDescent="0.25">
      <c r="B114" s="33"/>
      <c r="C114" s="5"/>
      <c r="G114">
        <f t="shared" si="6"/>
        <v>1400</v>
      </c>
      <c r="H114" s="2"/>
      <c r="I114" s="2"/>
      <c r="J114" s="2">
        <f>J113+Gastos[[#This Row],[Ingresa]]-Gastos[[#This Row],[Sale]]</f>
        <v>549171.00000000093</v>
      </c>
      <c r="K114" s="14">
        <f>Gastos[[#This Row],[Sale]]/Gastos[[#This Row],[Dólar]]</f>
        <v>0</v>
      </c>
      <c r="L114" s="2"/>
      <c r="N114" s="1"/>
      <c r="O114" s="1"/>
    </row>
    <row r="115" spans="2:16" x14ac:dyDescent="0.25">
      <c r="B115" s="33"/>
      <c r="C115" s="5"/>
      <c r="G115">
        <f t="shared" si="6"/>
        <v>1400</v>
      </c>
      <c r="H115" s="2"/>
      <c r="I115" s="2"/>
      <c r="J115" s="2">
        <f>J114+Gastos[[#This Row],[Ingresa]]-Gastos[[#This Row],[Sale]]</f>
        <v>549171.00000000093</v>
      </c>
      <c r="K115" s="14">
        <f>Gastos[[#This Row],[Sale]]/Gastos[[#This Row],[Dólar]]</f>
        <v>0</v>
      </c>
      <c r="L115" s="2"/>
      <c r="N115" s="1"/>
      <c r="O115" s="1"/>
    </row>
    <row r="116" spans="2:16" x14ac:dyDescent="0.25">
      <c r="B116" s="33"/>
      <c r="C116" s="5"/>
      <c r="D116" s="7"/>
      <c r="E116" s="13"/>
      <c r="G116">
        <f t="shared" si="6"/>
        <v>1400</v>
      </c>
      <c r="H116" s="2"/>
      <c r="I116" s="2"/>
      <c r="J116" s="2">
        <f>J115+Gastos[[#This Row],[Ingresa]]-Gastos[[#This Row],[Sale]]</f>
        <v>549171.00000000093</v>
      </c>
      <c r="K116" s="14">
        <f>Gastos[[#This Row],[Sale]]/Gastos[[#This Row],[Dólar]]</f>
        <v>0</v>
      </c>
      <c r="L116" s="2"/>
      <c r="N116" s="1"/>
      <c r="O116" s="1"/>
    </row>
    <row r="117" spans="2:16" x14ac:dyDescent="0.25">
      <c r="B117" s="33"/>
      <c r="C117" s="5"/>
      <c r="G117">
        <f t="shared" si="6"/>
        <v>1400</v>
      </c>
      <c r="H117" s="2"/>
      <c r="I117" s="2"/>
      <c r="J117" s="2">
        <f>J116+Gastos[[#This Row],[Ingresa]]-Gastos[[#This Row],[Sale]]</f>
        <v>549171.00000000093</v>
      </c>
      <c r="K117" s="14">
        <f>Gastos[[#This Row],[Sale]]/Gastos[[#This Row],[Dólar]]</f>
        <v>0</v>
      </c>
      <c r="L117" s="2"/>
      <c r="N117" s="1"/>
      <c r="O117" s="1"/>
    </row>
    <row r="118" spans="2:16" x14ac:dyDescent="0.25">
      <c r="B118" s="33"/>
      <c r="C118" s="5"/>
      <c r="G118">
        <f t="shared" si="6"/>
        <v>1400</v>
      </c>
      <c r="H118" s="2"/>
      <c r="I118" s="2"/>
      <c r="J118" s="2">
        <f>J117+Gastos[[#This Row],[Ingresa]]-Gastos[[#This Row],[Sale]]</f>
        <v>549171.00000000093</v>
      </c>
      <c r="K118" s="14">
        <f>Gastos[[#This Row],[Sale]]/Gastos[[#This Row],[Dólar]]</f>
        <v>0</v>
      </c>
      <c r="L118" s="2"/>
      <c r="N118" s="1"/>
      <c r="O118" s="1"/>
    </row>
    <row r="119" spans="2:16" x14ac:dyDescent="0.25">
      <c r="B119" s="33"/>
      <c r="C119" s="5"/>
      <c r="G119">
        <f t="shared" si="6"/>
        <v>1400</v>
      </c>
      <c r="H119" s="2"/>
      <c r="I119" s="2"/>
      <c r="J119" s="2">
        <f>J118+Gastos[[#This Row],[Ingresa]]-Gastos[[#This Row],[Sale]]</f>
        <v>549171.00000000093</v>
      </c>
      <c r="K119" s="14">
        <f>Gastos[[#This Row],[Sale]]/Gastos[[#This Row],[Dólar]]</f>
        <v>0</v>
      </c>
      <c r="L119" s="2"/>
      <c r="N119" s="1"/>
      <c r="O119" s="1"/>
    </row>
    <row r="120" spans="2:16" x14ac:dyDescent="0.25">
      <c r="B120" s="33"/>
      <c r="C120" s="5"/>
      <c r="G120">
        <f t="shared" si="6"/>
        <v>1400</v>
      </c>
      <c r="H120" s="2"/>
      <c r="I120" s="2"/>
      <c r="J120" s="2">
        <f>J119+Gastos[[#This Row],[Ingresa]]-Gastos[[#This Row],[Sale]]</f>
        <v>549171.00000000093</v>
      </c>
      <c r="K120" s="14">
        <f>Gastos[[#This Row],[Sale]]/Gastos[[#This Row],[Dólar]]</f>
        <v>0</v>
      </c>
      <c r="L120" s="2"/>
      <c r="N120" s="1"/>
      <c r="O120" s="1"/>
    </row>
    <row r="121" spans="2:16" x14ac:dyDescent="0.25">
      <c r="B121" s="33"/>
      <c r="C121" s="5"/>
      <c r="G121">
        <f t="shared" si="6"/>
        <v>1400</v>
      </c>
      <c r="H121" s="2"/>
      <c r="I121" s="2"/>
      <c r="J121" s="2">
        <f>J120+Gastos[[#This Row],[Ingresa]]-Gastos[[#This Row],[Sale]]</f>
        <v>549171.00000000093</v>
      </c>
      <c r="K121" s="14">
        <f>Gastos[[#This Row],[Sale]]/Gastos[[#This Row],[Dólar]]</f>
        <v>0</v>
      </c>
      <c r="L121" s="2"/>
      <c r="N121" s="1"/>
      <c r="O121" s="1"/>
      <c r="P121" s="3"/>
    </row>
    <row r="122" spans="2:16" x14ac:dyDescent="0.25">
      <c r="B122" s="33"/>
      <c r="C122" s="5"/>
      <c r="G122">
        <f t="shared" si="6"/>
        <v>1400</v>
      </c>
      <c r="H122" s="2"/>
      <c r="I122" s="2"/>
      <c r="J122" s="2">
        <f>J121+Gastos[[#This Row],[Ingresa]]-Gastos[[#This Row],[Sale]]</f>
        <v>549171.00000000093</v>
      </c>
      <c r="K122" s="14">
        <f>Gastos[[#This Row],[Sale]]/Gastos[[#This Row],[Dólar]]</f>
        <v>0</v>
      </c>
      <c r="L122" s="2"/>
      <c r="N122" s="1"/>
      <c r="O122" s="1"/>
      <c r="P122" s="3"/>
    </row>
    <row r="123" spans="2:16" x14ac:dyDescent="0.25">
      <c r="B123" s="33"/>
      <c r="C123" s="5"/>
      <c r="G123">
        <f t="shared" si="6"/>
        <v>1400</v>
      </c>
      <c r="H123" s="2"/>
      <c r="I123" s="2"/>
      <c r="J123" s="2">
        <f>J122+Gastos[[#This Row],[Ingresa]]-Gastos[[#This Row],[Sale]]</f>
        <v>549171.00000000093</v>
      </c>
      <c r="K123" s="14">
        <f>Gastos[[#This Row],[Sale]]/Gastos[[#This Row],[Dólar]]</f>
        <v>0</v>
      </c>
      <c r="L123" s="2"/>
      <c r="N123" s="1"/>
      <c r="O123" s="1"/>
    </row>
    <row r="124" spans="2:16" x14ac:dyDescent="0.25">
      <c r="B124" s="33"/>
      <c r="C124" s="5"/>
      <c r="G124">
        <f t="shared" si="6"/>
        <v>1400</v>
      </c>
      <c r="H124" s="2"/>
      <c r="I124" s="2"/>
      <c r="J124" s="2">
        <f>J123+Gastos[[#This Row],[Ingresa]]-Gastos[[#This Row],[Sale]]</f>
        <v>549171.00000000093</v>
      </c>
      <c r="K124" s="14">
        <f>Gastos[[#This Row],[Sale]]/Gastos[[#This Row],[Dólar]]</f>
        <v>0</v>
      </c>
      <c r="L124" s="2"/>
      <c r="N124" s="1"/>
      <c r="O124" s="1"/>
    </row>
    <row r="125" spans="2:16" x14ac:dyDescent="0.25">
      <c r="B125" s="33"/>
      <c r="C125" s="5"/>
      <c r="G125">
        <f t="shared" ref="G125:G156" si="7">G124</f>
        <v>1400</v>
      </c>
      <c r="H125" s="2"/>
      <c r="I125" s="2"/>
      <c r="J125" s="2">
        <f>J124+Gastos[[#This Row],[Ingresa]]-Gastos[[#This Row],[Sale]]</f>
        <v>549171.00000000093</v>
      </c>
      <c r="K125" s="14">
        <f>Gastos[[#This Row],[Sale]]/Gastos[[#This Row],[Dólar]]</f>
        <v>0</v>
      </c>
      <c r="L125" s="2"/>
      <c r="N125" s="1"/>
      <c r="O125" s="1"/>
    </row>
    <row r="126" spans="2:16" x14ac:dyDescent="0.25">
      <c r="B126" s="33"/>
      <c r="C126" s="5"/>
      <c r="G126">
        <f t="shared" si="7"/>
        <v>1400</v>
      </c>
      <c r="H126" s="2"/>
      <c r="I126" s="2"/>
      <c r="J126" s="2">
        <f>J125+Gastos[[#This Row],[Ingresa]]-Gastos[[#This Row],[Sale]]</f>
        <v>549171.00000000093</v>
      </c>
      <c r="K126" s="14">
        <f>Gastos[[#This Row],[Sale]]/Gastos[[#This Row],[Dólar]]</f>
        <v>0</v>
      </c>
      <c r="L126" s="2"/>
      <c r="N126" s="1"/>
      <c r="O126" s="1"/>
    </row>
    <row r="127" spans="2:16" x14ac:dyDescent="0.25">
      <c r="B127" s="33"/>
      <c r="C127" s="5"/>
      <c r="D127" s="7"/>
      <c r="E127" s="13"/>
      <c r="G127">
        <f t="shared" si="7"/>
        <v>1400</v>
      </c>
      <c r="H127" s="2"/>
      <c r="I127" s="2"/>
      <c r="J127" s="2">
        <f>J126+Gastos[[#This Row],[Ingresa]]-Gastos[[#This Row],[Sale]]</f>
        <v>549171.00000000093</v>
      </c>
      <c r="K127" s="14">
        <f>Gastos[[#This Row],[Sale]]/Gastos[[#This Row],[Dólar]]</f>
        <v>0</v>
      </c>
      <c r="L127" s="2"/>
      <c r="N127" s="1"/>
      <c r="O127" s="1"/>
    </row>
    <row r="128" spans="2:16" x14ac:dyDescent="0.25">
      <c r="B128" s="33"/>
      <c r="C128" s="5"/>
      <c r="G128">
        <f t="shared" si="7"/>
        <v>1400</v>
      </c>
      <c r="H128" s="2"/>
      <c r="I128" s="2"/>
      <c r="J128" s="2">
        <f>J127+Gastos[[#This Row],[Ingresa]]-Gastos[[#This Row],[Sale]]</f>
        <v>549171.00000000093</v>
      </c>
      <c r="K128" s="14">
        <f>Gastos[[#This Row],[Sale]]/Gastos[[#This Row],[Dólar]]</f>
        <v>0</v>
      </c>
      <c r="L128" s="2"/>
      <c r="N128" s="1"/>
      <c r="O128" s="1"/>
    </row>
    <row r="129" spans="2:15" x14ac:dyDescent="0.25">
      <c r="B129" s="33"/>
      <c r="C129" s="5"/>
      <c r="G129">
        <f t="shared" si="7"/>
        <v>1400</v>
      </c>
      <c r="H129" s="2"/>
      <c r="I129" s="2"/>
      <c r="J129" s="2">
        <f>J128+Gastos[[#This Row],[Ingresa]]-Gastos[[#This Row],[Sale]]</f>
        <v>549171.00000000093</v>
      </c>
      <c r="K129" s="14">
        <f>Gastos[[#This Row],[Sale]]/Gastos[[#This Row],[Dólar]]</f>
        <v>0</v>
      </c>
      <c r="L129" s="2"/>
      <c r="N129" s="1"/>
      <c r="O129" s="1"/>
    </row>
    <row r="130" spans="2:15" x14ac:dyDescent="0.25">
      <c r="B130" s="33"/>
      <c r="C130" s="5"/>
      <c r="G130">
        <f t="shared" si="7"/>
        <v>1400</v>
      </c>
      <c r="H130" s="2"/>
      <c r="I130" s="2"/>
      <c r="J130" s="2">
        <f>J129+Gastos[[#This Row],[Ingresa]]-Gastos[[#This Row],[Sale]]</f>
        <v>549171.00000000093</v>
      </c>
      <c r="K130" s="14">
        <f>Gastos[[#This Row],[Sale]]/Gastos[[#This Row],[Dólar]]</f>
        <v>0</v>
      </c>
      <c r="L130" s="2"/>
      <c r="N130" s="1"/>
      <c r="O130" s="1"/>
    </row>
    <row r="131" spans="2:15" x14ac:dyDescent="0.25">
      <c r="B131" s="33"/>
      <c r="C131" s="5"/>
      <c r="G131">
        <f t="shared" si="7"/>
        <v>1400</v>
      </c>
      <c r="H131" s="2"/>
      <c r="I131" s="2"/>
      <c r="J131" s="2">
        <f>J130+Gastos[[#This Row],[Ingresa]]-Gastos[[#This Row],[Sale]]</f>
        <v>549171.00000000093</v>
      </c>
      <c r="K131" s="14">
        <f>Gastos[[#This Row],[Sale]]/Gastos[[#This Row],[Dólar]]</f>
        <v>0</v>
      </c>
      <c r="L131" s="2"/>
      <c r="N131" s="1"/>
      <c r="O131" s="1"/>
    </row>
    <row r="132" spans="2:15" x14ac:dyDescent="0.25">
      <c r="B132" s="33"/>
      <c r="C132" s="5"/>
      <c r="G132">
        <f t="shared" si="7"/>
        <v>1400</v>
      </c>
      <c r="H132" s="2"/>
      <c r="I132" s="2"/>
      <c r="J132" s="2">
        <f>J131+Gastos[[#This Row],[Ingresa]]-Gastos[[#This Row],[Sale]]</f>
        <v>549171.00000000093</v>
      </c>
      <c r="K132" s="14">
        <f>Gastos[[#This Row],[Sale]]/Gastos[[#This Row],[Dólar]]</f>
        <v>0</v>
      </c>
      <c r="L132" s="2"/>
      <c r="N132" s="1"/>
      <c r="O132" s="1"/>
    </row>
    <row r="133" spans="2:15" x14ac:dyDescent="0.25">
      <c r="B133" s="33"/>
      <c r="C133" s="5"/>
      <c r="G133">
        <f t="shared" si="7"/>
        <v>1400</v>
      </c>
      <c r="H133" s="2"/>
      <c r="I133" s="2"/>
      <c r="J133" s="2">
        <f>J132+Gastos[[#This Row],[Ingresa]]-Gastos[[#This Row],[Sale]]</f>
        <v>549171.00000000093</v>
      </c>
      <c r="K133" s="14">
        <f>Gastos[[#This Row],[Sale]]/Gastos[[#This Row],[Dólar]]</f>
        <v>0</v>
      </c>
      <c r="L133" s="2"/>
      <c r="N133" s="1"/>
      <c r="O133" s="1"/>
    </row>
    <row r="134" spans="2:15" x14ac:dyDescent="0.25">
      <c r="B134" s="33"/>
      <c r="C134" s="5"/>
      <c r="G134">
        <f t="shared" si="7"/>
        <v>1400</v>
      </c>
      <c r="H134" s="2"/>
      <c r="I134" s="2"/>
      <c r="J134" s="2">
        <f>J133+Gastos[[#This Row],[Ingresa]]-Gastos[[#This Row],[Sale]]</f>
        <v>549171.00000000093</v>
      </c>
      <c r="K134" s="14">
        <f>Gastos[[#This Row],[Sale]]/Gastos[[#This Row],[Dólar]]</f>
        <v>0</v>
      </c>
      <c r="L134" s="2"/>
      <c r="N134" s="1"/>
      <c r="O134" s="1"/>
    </row>
    <row r="135" spans="2:15" x14ac:dyDescent="0.25">
      <c r="B135" s="33"/>
      <c r="C135" s="5"/>
      <c r="G135">
        <f t="shared" si="7"/>
        <v>1400</v>
      </c>
      <c r="H135" s="2"/>
      <c r="I135" s="2"/>
      <c r="J135" s="2">
        <f>J134+Gastos[[#This Row],[Ingresa]]-Gastos[[#This Row],[Sale]]</f>
        <v>549171.00000000093</v>
      </c>
      <c r="K135" s="14">
        <f>Gastos[[#This Row],[Sale]]/Gastos[[#This Row],[Dólar]]</f>
        <v>0</v>
      </c>
      <c r="L135" s="2"/>
      <c r="N135" s="1"/>
      <c r="O135" s="1"/>
    </row>
    <row r="136" spans="2:15" x14ac:dyDescent="0.25">
      <c r="B136" s="33"/>
      <c r="C136" s="5"/>
      <c r="G136">
        <f t="shared" si="7"/>
        <v>1400</v>
      </c>
      <c r="H136" s="2"/>
      <c r="I136" s="2"/>
      <c r="J136" s="2">
        <f>J135+Gastos[[#This Row],[Ingresa]]-Gastos[[#This Row],[Sale]]</f>
        <v>549171.00000000093</v>
      </c>
      <c r="K136" s="14">
        <f>Gastos[[#This Row],[Sale]]/Gastos[[#This Row],[Dólar]]</f>
        <v>0</v>
      </c>
      <c r="L136" s="2"/>
      <c r="N136" s="1"/>
      <c r="O136" s="1"/>
    </row>
    <row r="137" spans="2:15" x14ac:dyDescent="0.25">
      <c r="B137" s="33"/>
      <c r="C137" s="5"/>
      <c r="G137">
        <f t="shared" si="7"/>
        <v>1400</v>
      </c>
      <c r="H137" s="2"/>
      <c r="I137" s="2"/>
      <c r="J137" s="2">
        <f>J136+Gastos[[#This Row],[Ingresa]]-Gastos[[#This Row],[Sale]]</f>
        <v>549171.00000000093</v>
      </c>
      <c r="K137" s="14">
        <f>Gastos[[#This Row],[Sale]]/Gastos[[#This Row],[Dólar]]</f>
        <v>0</v>
      </c>
      <c r="L137" s="2"/>
      <c r="N137" s="1"/>
      <c r="O137" s="1"/>
    </row>
    <row r="138" spans="2:15" x14ac:dyDescent="0.25">
      <c r="B138" s="33"/>
      <c r="C138" s="5"/>
      <c r="D138" s="7"/>
      <c r="E138" s="13"/>
      <c r="G138">
        <f t="shared" si="7"/>
        <v>1400</v>
      </c>
      <c r="H138" s="2"/>
      <c r="I138" s="2"/>
      <c r="J138" s="2">
        <f>J137+Gastos[[#This Row],[Ingresa]]-Gastos[[#This Row],[Sale]]</f>
        <v>549171.00000000093</v>
      </c>
      <c r="K138" s="14">
        <f>Gastos[[#This Row],[Sale]]/Gastos[[#This Row],[Dólar]]</f>
        <v>0</v>
      </c>
      <c r="L138" s="2"/>
      <c r="N138" s="1"/>
      <c r="O138" s="1"/>
    </row>
    <row r="139" spans="2:15" x14ac:dyDescent="0.25">
      <c r="B139" s="33"/>
      <c r="C139" s="5"/>
      <c r="G139">
        <f t="shared" si="7"/>
        <v>1400</v>
      </c>
      <c r="H139" s="2"/>
      <c r="I139" s="2"/>
      <c r="J139" s="2">
        <f>J138+Gastos[[#This Row],[Ingresa]]-Gastos[[#This Row],[Sale]]</f>
        <v>549171.00000000093</v>
      </c>
      <c r="K139" s="14">
        <f>Gastos[[#This Row],[Sale]]/Gastos[[#This Row],[Dólar]]</f>
        <v>0</v>
      </c>
      <c r="L139" s="2"/>
      <c r="N139" s="1"/>
      <c r="O139" s="1"/>
    </row>
    <row r="140" spans="2:15" x14ac:dyDescent="0.25">
      <c r="B140" s="33"/>
      <c r="C140" s="5"/>
      <c r="G140">
        <f t="shared" si="7"/>
        <v>1400</v>
      </c>
      <c r="H140" s="2"/>
      <c r="I140" s="2"/>
      <c r="J140" s="2">
        <f>J139+Gastos[[#This Row],[Ingresa]]-Gastos[[#This Row],[Sale]]</f>
        <v>549171.00000000093</v>
      </c>
      <c r="K140" s="14">
        <f>Gastos[[#This Row],[Sale]]/Gastos[[#This Row],[Dólar]]</f>
        <v>0</v>
      </c>
      <c r="L140" s="2"/>
      <c r="N140" s="1"/>
      <c r="O140" s="1"/>
    </row>
    <row r="141" spans="2:15" x14ac:dyDescent="0.25">
      <c r="B141" s="33"/>
      <c r="C141" s="5"/>
      <c r="D141" s="7"/>
      <c r="E141" s="13"/>
      <c r="G141">
        <f t="shared" si="7"/>
        <v>1400</v>
      </c>
      <c r="H141" s="2"/>
      <c r="I141" s="2"/>
      <c r="J141" s="2">
        <f>J140+Gastos[[#This Row],[Ingresa]]-Gastos[[#This Row],[Sale]]</f>
        <v>549171.00000000093</v>
      </c>
      <c r="K141" s="14">
        <f>Gastos[[#This Row],[Sale]]/Gastos[[#This Row],[Dólar]]</f>
        <v>0</v>
      </c>
      <c r="L141" s="2"/>
      <c r="N141" s="1"/>
      <c r="O141" s="1"/>
    </row>
    <row r="142" spans="2:15" x14ac:dyDescent="0.25">
      <c r="B142" s="33"/>
      <c r="C142" s="5"/>
      <c r="G142">
        <f t="shared" si="7"/>
        <v>1400</v>
      </c>
      <c r="H142" s="2"/>
      <c r="I142" s="2"/>
      <c r="J142" s="2">
        <f>J141+Gastos[[#This Row],[Ingresa]]-Gastos[[#This Row],[Sale]]</f>
        <v>549171.00000000093</v>
      </c>
      <c r="K142" s="14">
        <f>Gastos[[#This Row],[Sale]]/Gastos[[#This Row],[Dólar]]</f>
        <v>0</v>
      </c>
      <c r="L142" s="2"/>
      <c r="N142" s="1"/>
      <c r="O142" s="1"/>
    </row>
    <row r="143" spans="2:15" x14ac:dyDescent="0.25">
      <c r="B143" s="33"/>
      <c r="C143" s="5"/>
      <c r="G143">
        <f t="shared" si="7"/>
        <v>1400</v>
      </c>
      <c r="H143" s="2"/>
      <c r="I143" s="2"/>
      <c r="J143" s="2">
        <f>J142+Gastos[[#This Row],[Ingresa]]-Gastos[[#This Row],[Sale]]</f>
        <v>549171.00000000093</v>
      </c>
      <c r="K143" s="14">
        <f>Gastos[[#This Row],[Sale]]/Gastos[[#This Row],[Dólar]]</f>
        <v>0</v>
      </c>
      <c r="L143" s="2"/>
      <c r="N143" s="1"/>
      <c r="O143" s="1"/>
    </row>
    <row r="144" spans="2:15" x14ac:dyDescent="0.25">
      <c r="B144" s="33"/>
      <c r="C144" s="5"/>
      <c r="G144">
        <f t="shared" si="7"/>
        <v>1400</v>
      </c>
      <c r="H144" s="2"/>
      <c r="I144" s="2"/>
      <c r="J144" s="2">
        <f>J143+Gastos[[#This Row],[Ingresa]]-Gastos[[#This Row],[Sale]]</f>
        <v>549171.00000000093</v>
      </c>
      <c r="K144" s="14">
        <f>Gastos[[#This Row],[Sale]]/Gastos[[#This Row],[Dólar]]</f>
        <v>0</v>
      </c>
      <c r="L144" s="2"/>
      <c r="N144" s="1"/>
      <c r="O144" s="1"/>
    </row>
    <row r="145" spans="2:16" x14ac:dyDescent="0.25">
      <c r="B145" s="33"/>
      <c r="C145" s="5"/>
      <c r="G145">
        <f t="shared" si="7"/>
        <v>1400</v>
      </c>
      <c r="H145" s="2"/>
      <c r="I145" s="2"/>
      <c r="J145" s="2">
        <f>J144+Gastos[[#This Row],[Ingresa]]-Gastos[[#This Row],[Sale]]</f>
        <v>549171.00000000093</v>
      </c>
      <c r="K145" s="14">
        <f>Gastos[[#This Row],[Sale]]/Gastos[[#This Row],[Dólar]]</f>
        <v>0</v>
      </c>
      <c r="L145" s="2"/>
      <c r="N145" s="1"/>
      <c r="O145" s="1"/>
    </row>
    <row r="146" spans="2:16" x14ac:dyDescent="0.25">
      <c r="B146" s="33"/>
      <c r="C146" s="5"/>
      <c r="G146">
        <f t="shared" si="7"/>
        <v>1400</v>
      </c>
      <c r="H146" s="2"/>
      <c r="I146" s="2"/>
      <c r="J146" s="2">
        <f>J145+Gastos[[#This Row],[Ingresa]]-Gastos[[#This Row],[Sale]]</f>
        <v>549171.00000000093</v>
      </c>
      <c r="K146" s="14">
        <f>Gastos[[#This Row],[Sale]]/Gastos[[#This Row],[Dólar]]</f>
        <v>0</v>
      </c>
      <c r="L146" s="2"/>
      <c r="N146" s="1"/>
      <c r="O146" s="1"/>
    </row>
    <row r="147" spans="2:16" x14ac:dyDescent="0.25">
      <c r="B147" s="33"/>
      <c r="C147" s="5"/>
      <c r="G147">
        <f t="shared" si="7"/>
        <v>1400</v>
      </c>
      <c r="H147" s="2"/>
      <c r="I147" s="2"/>
      <c r="J147" s="2">
        <f>J146+Gastos[[#This Row],[Ingresa]]-Gastos[[#This Row],[Sale]]</f>
        <v>549171.00000000093</v>
      </c>
      <c r="K147" s="14">
        <f>Gastos[[#This Row],[Sale]]/Gastos[[#This Row],[Dólar]]</f>
        <v>0</v>
      </c>
      <c r="L147" s="2"/>
      <c r="N147" s="1"/>
      <c r="O147" s="1"/>
    </row>
    <row r="148" spans="2:16" x14ac:dyDescent="0.25">
      <c r="B148" s="33"/>
      <c r="C148" s="5"/>
      <c r="G148">
        <f t="shared" si="7"/>
        <v>1400</v>
      </c>
      <c r="H148" s="2"/>
      <c r="I148" s="2"/>
      <c r="J148" s="2">
        <f>J147+Gastos[[#This Row],[Ingresa]]-Gastos[[#This Row],[Sale]]</f>
        <v>549171.00000000093</v>
      </c>
      <c r="K148" s="14">
        <f>Gastos[[#This Row],[Sale]]/Gastos[[#This Row],[Dólar]]</f>
        <v>0</v>
      </c>
      <c r="L148" s="2"/>
      <c r="N148" s="1"/>
      <c r="O148" s="1"/>
      <c r="P148" s="2"/>
    </row>
    <row r="149" spans="2:16" x14ac:dyDescent="0.25">
      <c r="B149" s="33"/>
      <c r="C149" s="5"/>
      <c r="G149">
        <f t="shared" si="7"/>
        <v>1400</v>
      </c>
      <c r="H149" s="2"/>
      <c r="I149" s="2"/>
      <c r="J149" s="2">
        <f>J148+Gastos[[#This Row],[Ingresa]]-Gastos[[#This Row],[Sale]]</f>
        <v>549171.00000000093</v>
      </c>
      <c r="K149" s="14">
        <f>Gastos[[#This Row],[Sale]]/Gastos[[#This Row],[Dólar]]</f>
        <v>0</v>
      </c>
      <c r="L149" s="2"/>
      <c r="N149" s="1"/>
      <c r="O149" s="1"/>
      <c r="P149" s="2"/>
    </row>
    <row r="150" spans="2:16" x14ac:dyDescent="0.25">
      <c r="B150" s="33"/>
      <c r="C150" s="5"/>
      <c r="G150">
        <f t="shared" si="7"/>
        <v>1400</v>
      </c>
      <c r="H150" s="2"/>
      <c r="I150" s="2"/>
      <c r="J150" s="2">
        <f>J149+Gastos[[#This Row],[Ingresa]]-Gastos[[#This Row],[Sale]]</f>
        <v>549171.00000000093</v>
      </c>
      <c r="K150" s="14">
        <f>Gastos[[#This Row],[Sale]]/Gastos[[#This Row],[Dólar]]</f>
        <v>0</v>
      </c>
      <c r="L150" s="2"/>
      <c r="N150" s="1"/>
      <c r="O150" s="1"/>
      <c r="P150" s="2"/>
    </row>
    <row r="151" spans="2:16" x14ac:dyDescent="0.25">
      <c r="B151" s="33"/>
      <c r="C151" s="5"/>
      <c r="G151">
        <f t="shared" si="7"/>
        <v>1400</v>
      </c>
      <c r="H151" s="2"/>
      <c r="I151" s="2"/>
      <c r="J151" s="2">
        <f>J150+Gastos[[#This Row],[Ingresa]]-Gastos[[#This Row],[Sale]]</f>
        <v>549171.00000000093</v>
      </c>
      <c r="K151" s="14">
        <f>Gastos[[#This Row],[Sale]]/Gastos[[#This Row],[Dólar]]</f>
        <v>0</v>
      </c>
      <c r="L151" s="2"/>
      <c r="N151" s="1"/>
      <c r="O151" s="1"/>
    </row>
    <row r="152" spans="2:16" x14ac:dyDescent="0.25">
      <c r="B152" s="33"/>
      <c r="C152" s="5"/>
      <c r="G152">
        <f t="shared" si="7"/>
        <v>1400</v>
      </c>
      <c r="H152" s="2"/>
      <c r="I152" s="2"/>
      <c r="J152" s="2">
        <f>J151+Gastos[[#This Row],[Ingresa]]-Gastos[[#This Row],[Sale]]</f>
        <v>549171.00000000093</v>
      </c>
      <c r="K152" s="14">
        <f>Gastos[[#This Row],[Sale]]/Gastos[[#This Row],[Dólar]]</f>
        <v>0</v>
      </c>
      <c r="L152" s="2"/>
      <c r="N152" s="1"/>
      <c r="O152" s="1"/>
    </row>
    <row r="153" spans="2:16" x14ac:dyDescent="0.25">
      <c r="B153" s="33"/>
      <c r="C153" s="5"/>
      <c r="G153">
        <f t="shared" si="7"/>
        <v>1400</v>
      </c>
      <c r="H153" s="2"/>
      <c r="I153" s="2"/>
      <c r="J153" s="2">
        <f>J152+Gastos[[#This Row],[Ingresa]]-Gastos[[#This Row],[Sale]]</f>
        <v>549171.00000000093</v>
      </c>
      <c r="K153" s="14">
        <f>Gastos[[#This Row],[Sale]]/Gastos[[#This Row],[Dólar]]</f>
        <v>0</v>
      </c>
      <c r="L153" s="2"/>
      <c r="N153" s="1"/>
      <c r="O153" s="1"/>
    </row>
    <row r="154" spans="2:16" x14ac:dyDescent="0.25">
      <c r="B154" s="33"/>
      <c r="C154" s="5"/>
      <c r="G154">
        <f t="shared" si="7"/>
        <v>1400</v>
      </c>
      <c r="H154" s="2"/>
      <c r="I154" s="2"/>
      <c r="J154" s="2">
        <f>J153+Gastos[[#This Row],[Ingresa]]-Gastos[[#This Row],[Sale]]</f>
        <v>549171.00000000093</v>
      </c>
      <c r="K154" s="14">
        <f>Gastos[[#This Row],[Sale]]/Gastos[[#This Row],[Dólar]]</f>
        <v>0</v>
      </c>
      <c r="L154" s="2"/>
      <c r="N154" s="1"/>
      <c r="O154" s="1"/>
    </row>
    <row r="155" spans="2:16" x14ac:dyDescent="0.25">
      <c r="B155" s="33"/>
      <c r="C155" s="5"/>
      <c r="G155">
        <f t="shared" si="7"/>
        <v>1400</v>
      </c>
      <c r="H155" s="2"/>
      <c r="I155" s="2"/>
      <c r="J155" s="2">
        <f>J154+Gastos[[#This Row],[Ingresa]]-Gastos[[#This Row],[Sale]]</f>
        <v>549171.00000000093</v>
      </c>
      <c r="K155" s="14">
        <f>Gastos[[#This Row],[Sale]]/Gastos[[#This Row],[Dólar]]</f>
        <v>0</v>
      </c>
      <c r="L155" s="2"/>
      <c r="N155" s="1"/>
      <c r="O155" s="1"/>
    </row>
    <row r="156" spans="2:16" x14ac:dyDescent="0.25">
      <c r="B156" s="33"/>
      <c r="C156" s="5"/>
      <c r="G156">
        <f t="shared" si="7"/>
        <v>1400</v>
      </c>
      <c r="H156" s="2"/>
      <c r="I156" s="2"/>
      <c r="J156" s="2">
        <f>J155+Gastos[[#This Row],[Ingresa]]-Gastos[[#This Row],[Sale]]</f>
        <v>549171.00000000093</v>
      </c>
      <c r="K156" s="14">
        <f>Gastos[[#This Row],[Sale]]/Gastos[[#This Row],[Dólar]]</f>
        <v>0</v>
      </c>
      <c r="L156" s="2"/>
      <c r="N156" s="1"/>
      <c r="O156" s="1"/>
    </row>
    <row r="157" spans="2:16" x14ac:dyDescent="0.25">
      <c r="B157" s="33"/>
      <c r="C157" s="5"/>
      <c r="G157">
        <f t="shared" ref="G157:G188" si="8">G156</f>
        <v>1400</v>
      </c>
      <c r="H157" s="2"/>
      <c r="I157" s="2"/>
      <c r="J157" s="2">
        <f>J156+Gastos[[#This Row],[Ingresa]]-Gastos[[#This Row],[Sale]]</f>
        <v>549171.00000000093</v>
      </c>
      <c r="K157" s="14">
        <f>Gastos[[#This Row],[Sale]]/Gastos[[#This Row],[Dólar]]</f>
        <v>0</v>
      </c>
      <c r="L157" s="2"/>
      <c r="N157" s="1"/>
      <c r="O157" s="1"/>
    </row>
    <row r="158" spans="2:16" x14ac:dyDescent="0.25">
      <c r="B158" s="33"/>
      <c r="C158" s="5"/>
      <c r="G158">
        <f t="shared" si="8"/>
        <v>1400</v>
      </c>
      <c r="H158" s="2"/>
      <c r="I158" s="2"/>
      <c r="J158" s="2">
        <f>J157+Gastos[[#This Row],[Ingresa]]-Gastos[[#This Row],[Sale]]</f>
        <v>549171.00000000093</v>
      </c>
      <c r="K158" s="14">
        <f>Gastos[[#This Row],[Sale]]/Gastos[[#This Row],[Dólar]]</f>
        <v>0</v>
      </c>
      <c r="L158" s="2"/>
      <c r="N158" s="1"/>
      <c r="O158" s="1"/>
    </row>
    <row r="159" spans="2:16" x14ac:dyDescent="0.25">
      <c r="B159" s="33"/>
      <c r="C159" s="5"/>
      <c r="G159">
        <f t="shared" si="8"/>
        <v>1400</v>
      </c>
      <c r="H159" s="2"/>
      <c r="I159" s="2"/>
      <c r="J159" s="2">
        <f>J158+Gastos[[#This Row],[Ingresa]]-Gastos[[#This Row],[Sale]]</f>
        <v>549171.00000000093</v>
      </c>
      <c r="K159" s="14">
        <f>Gastos[[#This Row],[Sale]]/Gastos[[#This Row],[Dólar]]</f>
        <v>0</v>
      </c>
      <c r="L159" s="2"/>
      <c r="N159" s="1"/>
      <c r="O159" s="1"/>
    </row>
    <row r="160" spans="2:16" x14ac:dyDescent="0.25">
      <c r="B160" s="33"/>
      <c r="C160" s="5"/>
      <c r="D160" s="7"/>
      <c r="E160" s="13"/>
      <c r="G160">
        <f t="shared" si="8"/>
        <v>1400</v>
      </c>
      <c r="H160" s="2"/>
      <c r="I160" s="2"/>
      <c r="J160" s="2">
        <f>J159+Gastos[[#This Row],[Ingresa]]-Gastos[[#This Row],[Sale]]</f>
        <v>549171.00000000093</v>
      </c>
      <c r="K160" s="14">
        <f>Gastos[[#This Row],[Sale]]/Gastos[[#This Row],[Dólar]]</f>
        <v>0</v>
      </c>
      <c r="L160" s="2"/>
      <c r="N160" s="1"/>
      <c r="O160" s="1"/>
    </row>
    <row r="161" spans="2:15" x14ac:dyDescent="0.25">
      <c r="B161" s="33"/>
      <c r="C161" s="5"/>
      <c r="G161">
        <f t="shared" si="8"/>
        <v>1400</v>
      </c>
      <c r="H161" s="2"/>
      <c r="I161" s="2"/>
      <c r="J161" s="2">
        <f>J160+Gastos[[#This Row],[Ingresa]]-Gastos[[#This Row],[Sale]]</f>
        <v>549171.00000000093</v>
      </c>
      <c r="K161" s="14">
        <f>Gastos[[#This Row],[Sale]]/Gastos[[#This Row],[Dólar]]</f>
        <v>0</v>
      </c>
      <c r="L161" s="2"/>
      <c r="N161" s="1"/>
      <c r="O161" s="1"/>
    </row>
    <row r="162" spans="2:15" x14ac:dyDescent="0.25">
      <c r="B162" s="33"/>
      <c r="C162" s="5"/>
      <c r="D162" s="7"/>
      <c r="E162" s="13"/>
      <c r="G162">
        <f t="shared" si="8"/>
        <v>1400</v>
      </c>
      <c r="H162" s="2"/>
      <c r="I162" s="2"/>
      <c r="J162" s="2">
        <f>J161+Gastos[[#This Row],[Ingresa]]-Gastos[[#This Row],[Sale]]</f>
        <v>549171.00000000093</v>
      </c>
      <c r="K162" s="14">
        <f>Gastos[[#This Row],[Sale]]/Gastos[[#This Row],[Dólar]]</f>
        <v>0</v>
      </c>
      <c r="L162" s="2"/>
      <c r="N162" s="1"/>
      <c r="O162" s="1"/>
    </row>
    <row r="163" spans="2:15" x14ac:dyDescent="0.25">
      <c r="B163" s="33"/>
      <c r="C163" s="5"/>
      <c r="G163">
        <f t="shared" si="8"/>
        <v>1400</v>
      </c>
      <c r="H163" s="2"/>
      <c r="I163" s="2"/>
      <c r="J163" s="2">
        <f>J162+Gastos[[#This Row],[Ingresa]]-Gastos[[#This Row],[Sale]]</f>
        <v>549171.00000000093</v>
      </c>
      <c r="K163" s="14">
        <f>Gastos[[#This Row],[Sale]]/Gastos[[#This Row],[Dólar]]</f>
        <v>0</v>
      </c>
      <c r="L163" s="2"/>
      <c r="N163" s="1"/>
      <c r="O163" s="1"/>
    </row>
    <row r="164" spans="2:15" x14ac:dyDescent="0.25">
      <c r="B164" s="33"/>
      <c r="C164" s="5"/>
      <c r="G164">
        <f t="shared" si="8"/>
        <v>1400</v>
      </c>
      <c r="H164" s="2"/>
      <c r="I164" s="2"/>
      <c r="J164" s="2">
        <f>J163+Gastos[[#This Row],[Ingresa]]-Gastos[[#This Row],[Sale]]</f>
        <v>549171.00000000093</v>
      </c>
      <c r="K164" s="14">
        <f>Gastos[[#This Row],[Sale]]/Gastos[[#This Row],[Dólar]]</f>
        <v>0</v>
      </c>
      <c r="L164" s="2"/>
      <c r="N164" s="1"/>
      <c r="O164" s="1"/>
    </row>
    <row r="165" spans="2:15" x14ac:dyDescent="0.25">
      <c r="B165" s="33"/>
      <c r="C165" s="5"/>
      <c r="D165" s="7"/>
      <c r="E165" s="13"/>
      <c r="G165">
        <f t="shared" si="8"/>
        <v>1400</v>
      </c>
      <c r="H165" s="2"/>
      <c r="I165" s="2"/>
      <c r="J165" s="2">
        <f>J164+Gastos[[#This Row],[Ingresa]]-Gastos[[#This Row],[Sale]]</f>
        <v>549171.00000000093</v>
      </c>
      <c r="K165" s="14">
        <f>Gastos[[#This Row],[Sale]]/Gastos[[#This Row],[Dólar]]</f>
        <v>0</v>
      </c>
      <c r="L165" s="2"/>
      <c r="N165" s="1"/>
      <c r="O165" s="1"/>
    </row>
    <row r="166" spans="2:15" x14ac:dyDescent="0.25">
      <c r="B166" s="33"/>
      <c r="C166" s="5"/>
      <c r="G166">
        <f t="shared" si="8"/>
        <v>1400</v>
      </c>
      <c r="H166" s="2"/>
      <c r="I166" s="2"/>
      <c r="J166" s="2">
        <f>J165+Gastos[[#This Row],[Ingresa]]-Gastos[[#This Row],[Sale]]</f>
        <v>549171.00000000093</v>
      </c>
      <c r="K166" s="14">
        <f>Gastos[[#This Row],[Sale]]/Gastos[[#This Row],[Dólar]]</f>
        <v>0</v>
      </c>
      <c r="L166" s="2"/>
      <c r="N166" s="1"/>
      <c r="O166" s="1"/>
    </row>
    <row r="167" spans="2:15" x14ac:dyDescent="0.25">
      <c r="B167" s="33"/>
      <c r="C167" s="5"/>
      <c r="G167">
        <f t="shared" si="8"/>
        <v>1400</v>
      </c>
      <c r="H167" s="2"/>
      <c r="I167" s="2"/>
      <c r="J167" s="2">
        <f>J166+Gastos[[#This Row],[Ingresa]]-Gastos[[#This Row],[Sale]]</f>
        <v>549171.00000000093</v>
      </c>
      <c r="K167" s="14">
        <f>Gastos[[#This Row],[Sale]]/Gastos[[#This Row],[Dólar]]</f>
        <v>0</v>
      </c>
      <c r="L167" s="2"/>
      <c r="N167" s="1"/>
      <c r="O167" s="1"/>
    </row>
    <row r="168" spans="2:15" x14ac:dyDescent="0.25">
      <c r="B168" s="33"/>
      <c r="C168" s="5"/>
      <c r="G168">
        <f t="shared" si="8"/>
        <v>1400</v>
      </c>
      <c r="H168" s="2"/>
      <c r="I168" s="2"/>
      <c r="J168" s="2">
        <f>J167+Gastos[[#This Row],[Ingresa]]-Gastos[[#This Row],[Sale]]</f>
        <v>549171.00000000093</v>
      </c>
      <c r="K168" s="14">
        <f>Gastos[[#This Row],[Sale]]/Gastos[[#This Row],[Dólar]]</f>
        <v>0</v>
      </c>
      <c r="L168" s="2"/>
      <c r="N168" s="1"/>
      <c r="O168" s="1"/>
    </row>
    <row r="169" spans="2:15" x14ac:dyDescent="0.25">
      <c r="B169" s="33"/>
      <c r="C169" s="5"/>
      <c r="G169">
        <f t="shared" si="8"/>
        <v>1400</v>
      </c>
      <c r="H169" s="2"/>
      <c r="I169" s="2"/>
      <c r="J169" s="2">
        <f>J168+Gastos[[#This Row],[Ingresa]]-Gastos[[#This Row],[Sale]]</f>
        <v>549171.00000000093</v>
      </c>
      <c r="K169" s="14">
        <f>Gastos[[#This Row],[Sale]]/Gastos[[#This Row],[Dólar]]</f>
        <v>0</v>
      </c>
      <c r="L169" s="2"/>
      <c r="N169" s="1"/>
      <c r="O169" s="1"/>
    </row>
    <row r="170" spans="2:15" x14ac:dyDescent="0.25">
      <c r="B170" s="33"/>
      <c r="C170" s="5"/>
      <c r="G170">
        <f t="shared" si="8"/>
        <v>1400</v>
      </c>
      <c r="H170" s="2"/>
      <c r="I170" s="2"/>
      <c r="J170" s="2">
        <f>J169+Gastos[[#This Row],[Ingresa]]-Gastos[[#This Row],[Sale]]</f>
        <v>549171.00000000093</v>
      </c>
      <c r="K170" s="14">
        <f>Gastos[[#This Row],[Sale]]/Gastos[[#This Row],[Dólar]]</f>
        <v>0</v>
      </c>
      <c r="L170" s="2"/>
      <c r="N170" s="1"/>
      <c r="O170" s="1"/>
    </row>
    <row r="171" spans="2:15" x14ac:dyDescent="0.25">
      <c r="B171" s="33"/>
      <c r="C171" s="5"/>
      <c r="G171">
        <f t="shared" si="8"/>
        <v>1400</v>
      </c>
      <c r="H171" s="2"/>
      <c r="I171" s="2"/>
      <c r="J171" s="2">
        <f>J170+Gastos[[#This Row],[Ingresa]]-Gastos[[#This Row],[Sale]]</f>
        <v>549171.00000000093</v>
      </c>
      <c r="K171" s="14">
        <f>Gastos[[#This Row],[Sale]]/Gastos[[#This Row],[Dólar]]</f>
        <v>0</v>
      </c>
      <c r="L171" s="2"/>
      <c r="N171" s="1"/>
      <c r="O171" s="1"/>
    </row>
    <row r="172" spans="2:15" x14ac:dyDescent="0.25">
      <c r="B172" s="33"/>
      <c r="C172" s="5"/>
      <c r="G172">
        <f t="shared" si="8"/>
        <v>1400</v>
      </c>
      <c r="H172" s="2"/>
      <c r="I172" s="2"/>
      <c r="J172" s="2">
        <f>J171+Gastos[[#This Row],[Ingresa]]-Gastos[[#This Row],[Sale]]</f>
        <v>549171.00000000093</v>
      </c>
      <c r="K172" s="14">
        <f>Gastos[[#This Row],[Sale]]/Gastos[[#This Row],[Dólar]]</f>
        <v>0</v>
      </c>
      <c r="L172" s="2"/>
      <c r="N172" s="1"/>
      <c r="O172" s="1"/>
    </row>
    <row r="173" spans="2:15" x14ac:dyDescent="0.25">
      <c r="B173" s="33"/>
      <c r="C173" s="5"/>
      <c r="G173">
        <f t="shared" si="8"/>
        <v>1400</v>
      </c>
      <c r="H173" s="2"/>
      <c r="I173" s="2"/>
      <c r="J173" s="2">
        <f>J172+Gastos[[#This Row],[Ingresa]]-Gastos[[#This Row],[Sale]]</f>
        <v>549171.00000000093</v>
      </c>
      <c r="K173" s="14">
        <f>Gastos[[#This Row],[Sale]]/Gastos[[#This Row],[Dólar]]</f>
        <v>0</v>
      </c>
      <c r="L173" s="2"/>
      <c r="N173" s="1"/>
      <c r="O173" s="1"/>
    </row>
    <row r="174" spans="2:15" x14ac:dyDescent="0.25">
      <c r="B174" s="33"/>
      <c r="C174" s="5"/>
      <c r="G174">
        <f t="shared" si="8"/>
        <v>1400</v>
      </c>
      <c r="H174" s="2"/>
      <c r="I174" s="2"/>
      <c r="J174" s="2">
        <f>J173+Gastos[[#This Row],[Ingresa]]-Gastos[[#This Row],[Sale]]</f>
        <v>549171.00000000093</v>
      </c>
      <c r="K174" s="14">
        <f>Gastos[[#This Row],[Sale]]/Gastos[[#This Row],[Dólar]]</f>
        <v>0</v>
      </c>
      <c r="L174" s="2"/>
      <c r="N174" s="1"/>
      <c r="O174" s="1"/>
    </row>
    <row r="175" spans="2:15" x14ac:dyDescent="0.25">
      <c r="B175" s="33"/>
      <c r="C175" s="5"/>
      <c r="D175" s="7"/>
      <c r="E175" s="13"/>
      <c r="G175">
        <f t="shared" si="8"/>
        <v>1400</v>
      </c>
      <c r="H175" s="2"/>
      <c r="I175" s="2"/>
      <c r="J175" s="2">
        <f>J174+Gastos[[#This Row],[Ingresa]]-Gastos[[#This Row],[Sale]]</f>
        <v>549171.00000000093</v>
      </c>
      <c r="K175" s="14">
        <f>Gastos[[#This Row],[Sale]]/Gastos[[#This Row],[Dólar]]</f>
        <v>0</v>
      </c>
      <c r="L175" s="2"/>
      <c r="N175" s="1"/>
      <c r="O175" s="1"/>
    </row>
    <row r="176" spans="2:15" x14ac:dyDescent="0.25">
      <c r="B176" s="33"/>
      <c r="C176" s="5"/>
      <c r="G176">
        <f t="shared" si="8"/>
        <v>1400</v>
      </c>
      <c r="H176" s="2"/>
      <c r="I176" s="2"/>
      <c r="J176" s="2">
        <f>J175+Gastos[[#This Row],[Ingresa]]-Gastos[[#This Row],[Sale]]</f>
        <v>549171.00000000093</v>
      </c>
      <c r="K176" s="14">
        <f>Gastos[[#This Row],[Sale]]/Gastos[[#This Row],[Dólar]]</f>
        <v>0</v>
      </c>
      <c r="L176" s="2"/>
      <c r="N176" s="1"/>
      <c r="O176" s="1"/>
    </row>
    <row r="177" spans="2:15" x14ac:dyDescent="0.25">
      <c r="B177" s="33"/>
      <c r="C177" s="5"/>
      <c r="G177">
        <f t="shared" si="8"/>
        <v>1400</v>
      </c>
      <c r="H177" s="2"/>
      <c r="I177" s="2"/>
      <c r="J177" s="2">
        <f>J176+Gastos[[#This Row],[Ingresa]]-Gastos[[#This Row],[Sale]]</f>
        <v>549171.00000000093</v>
      </c>
      <c r="K177" s="14">
        <f>Gastos[[#This Row],[Sale]]/Gastos[[#This Row],[Dólar]]</f>
        <v>0</v>
      </c>
      <c r="L177" s="2"/>
      <c r="N177" s="1"/>
      <c r="O177" s="1"/>
    </row>
    <row r="178" spans="2:15" x14ac:dyDescent="0.25">
      <c r="B178" s="33"/>
      <c r="C178" s="5"/>
      <c r="G178">
        <f t="shared" si="8"/>
        <v>1400</v>
      </c>
      <c r="H178" s="2"/>
      <c r="I178" s="2"/>
      <c r="J178" s="2">
        <f>J177+Gastos[[#This Row],[Ingresa]]-Gastos[[#This Row],[Sale]]</f>
        <v>549171.00000000093</v>
      </c>
      <c r="K178" s="14">
        <f>Gastos[[#This Row],[Sale]]/Gastos[[#This Row],[Dólar]]</f>
        <v>0</v>
      </c>
      <c r="L178" s="2"/>
      <c r="N178" s="1"/>
      <c r="O178" s="1"/>
    </row>
    <row r="179" spans="2:15" x14ac:dyDescent="0.25">
      <c r="B179" s="33"/>
      <c r="C179" s="5"/>
      <c r="G179">
        <f t="shared" si="8"/>
        <v>1400</v>
      </c>
      <c r="H179" s="2"/>
      <c r="I179" s="2"/>
      <c r="J179" s="2">
        <f>J178+Gastos[[#This Row],[Ingresa]]-Gastos[[#This Row],[Sale]]</f>
        <v>549171.00000000093</v>
      </c>
      <c r="K179" s="14">
        <f>Gastos[[#This Row],[Sale]]/Gastos[[#This Row],[Dólar]]</f>
        <v>0</v>
      </c>
      <c r="L179" s="2"/>
      <c r="N179" s="1"/>
      <c r="O179" s="1"/>
    </row>
    <row r="180" spans="2:15" x14ac:dyDescent="0.25">
      <c r="B180" s="33"/>
      <c r="C180" s="5"/>
      <c r="G180">
        <f t="shared" si="8"/>
        <v>1400</v>
      </c>
      <c r="H180" s="2"/>
      <c r="I180" s="2"/>
      <c r="J180" s="2">
        <f>J179+Gastos[[#This Row],[Ingresa]]-Gastos[[#This Row],[Sale]]</f>
        <v>549171.00000000093</v>
      </c>
      <c r="K180" s="14">
        <f>Gastos[[#This Row],[Sale]]/Gastos[[#This Row],[Dólar]]</f>
        <v>0</v>
      </c>
      <c r="L180" s="2"/>
      <c r="N180" s="1"/>
      <c r="O180" s="1"/>
    </row>
    <row r="181" spans="2:15" x14ac:dyDescent="0.25">
      <c r="B181" s="33"/>
      <c r="C181" s="5"/>
      <c r="G181">
        <f t="shared" si="8"/>
        <v>1400</v>
      </c>
      <c r="H181" s="2"/>
      <c r="I181" s="2"/>
      <c r="J181" s="2">
        <f>J180+Gastos[[#This Row],[Ingresa]]-Gastos[[#This Row],[Sale]]</f>
        <v>549171.00000000093</v>
      </c>
      <c r="K181" s="14">
        <f>Gastos[[#This Row],[Sale]]/Gastos[[#This Row],[Dólar]]</f>
        <v>0</v>
      </c>
      <c r="L181" s="2"/>
      <c r="N181" s="1"/>
      <c r="O181" s="1"/>
    </row>
    <row r="182" spans="2:15" x14ac:dyDescent="0.25">
      <c r="B182" s="33"/>
      <c r="C182" s="5"/>
      <c r="G182">
        <f t="shared" si="8"/>
        <v>1400</v>
      </c>
      <c r="H182" s="2"/>
      <c r="I182" s="2"/>
      <c r="J182" s="2">
        <f>J181+Gastos[[#This Row],[Ingresa]]-Gastos[[#This Row],[Sale]]</f>
        <v>549171.00000000093</v>
      </c>
      <c r="K182" s="14">
        <f>Gastos[[#This Row],[Sale]]/Gastos[[#This Row],[Dólar]]</f>
        <v>0</v>
      </c>
      <c r="L182" s="2"/>
      <c r="N182" s="1"/>
      <c r="O182" s="1"/>
    </row>
    <row r="183" spans="2:15" x14ac:dyDescent="0.25">
      <c r="B183" s="33"/>
      <c r="C183" s="5"/>
      <c r="D183" s="7"/>
      <c r="E183" s="13"/>
      <c r="G183">
        <f t="shared" si="8"/>
        <v>1400</v>
      </c>
      <c r="H183" s="2"/>
      <c r="I183" s="2"/>
      <c r="J183" s="2">
        <f>J182+Gastos[[#This Row],[Ingresa]]-Gastos[[#This Row],[Sale]]</f>
        <v>549171.00000000093</v>
      </c>
      <c r="K183" s="14">
        <f>Gastos[[#This Row],[Sale]]/Gastos[[#This Row],[Dólar]]</f>
        <v>0</v>
      </c>
      <c r="L183" s="2"/>
      <c r="N183" s="1"/>
      <c r="O183" s="1"/>
    </row>
    <row r="184" spans="2:15" x14ac:dyDescent="0.25">
      <c r="B184" s="33"/>
      <c r="C184" s="5"/>
      <c r="G184">
        <f t="shared" si="8"/>
        <v>1400</v>
      </c>
      <c r="H184" s="2"/>
      <c r="I184" s="2"/>
      <c r="J184" s="2">
        <f>J183+Gastos[[#This Row],[Ingresa]]-Gastos[[#This Row],[Sale]]</f>
        <v>549171.00000000093</v>
      </c>
      <c r="K184" s="14">
        <f>Gastos[[#This Row],[Sale]]/Gastos[[#This Row],[Dólar]]</f>
        <v>0</v>
      </c>
      <c r="L184" s="2"/>
      <c r="N184" s="1"/>
      <c r="O184" s="1"/>
    </row>
    <row r="185" spans="2:15" x14ac:dyDescent="0.25">
      <c r="B185" s="33"/>
      <c r="C185" s="5"/>
      <c r="G185">
        <f t="shared" si="8"/>
        <v>1400</v>
      </c>
      <c r="H185" s="2"/>
      <c r="I185" s="2"/>
      <c r="J185" s="2">
        <f>J184+Gastos[[#This Row],[Ingresa]]-Gastos[[#This Row],[Sale]]</f>
        <v>549171.00000000093</v>
      </c>
      <c r="K185" s="14">
        <f>Gastos[[#This Row],[Sale]]/Gastos[[#This Row],[Dólar]]</f>
        <v>0</v>
      </c>
      <c r="L185" s="2"/>
      <c r="N185" s="1"/>
      <c r="O185" s="1"/>
    </row>
    <row r="186" spans="2:15" x14ac:dyDescent="0.25">
      <c r="B186" s="33"/>
      <c r="C186" s="5"/>
      <c r="G186">
        <f t="shared" si="8"/>
        <v>1400</v>
      </c>
      <c r="H186" s="2"/>
      <c r="I186" s="2"/>
      <c r="J186" s="2">
        <f>J185+Gastos[[#This Row],[Ingresa]]-Gastos[[#This Row],[Sale]]</f>
        <v>549171.00000000093</v>
      </c>
      <c r="K186" s="14">
        <f>Gastos[[#This Row],[Sale]]/Gastos[[#This Row],[Dólar]]</f>
        <v>0</v>
      </c>
      <c r="L186" s="2"/>
      <c r="N186" s="1"/>
      <c r="O186" s="1"/>
    </row>
    <row r="187" spans="2:15" x14ac:dyDescent="0.25">
      <c r="B187" s="33"/>
      <c r="C187" s="5"/>
      <c r="G187">
        <f t="shared" si="8"/>
        <v>1400</v>
      </c>
      <c r="H187" s="2"/>
      <c r="I187" s="2"/>
      <c r="J187" s="2">
        <f>J186+Gastos[[#This Row],[Ingresa]]-Gastos[[#This Row],[Sale]]</f>
        <v>549171.00000000093</v>
      </c>
      <c r="K187" s="14">
        <f>Gastos[[#This Row],[Sale]]/Gastos[[#This Row],[Dólar]]</f>
        <v>0</v>
      </c>
      <c r="L187" s="2"/>
      <c r="N187" s="1"/>
      <c r="O187" s="1"/>
    </row>
    <row r="188" spans="2:15" x14ac:dyDescent="0.25">
      <c r="B188" s="33"/>
      <c r="C188" s="5"/>
      <c r="G188">
        <f t="shared" si="8"/>
        <v>1400</v>
      </c>
      <c r="H188" s="2"/>
      <c r="I188" s="2"/>
      <c r="J188" s="2">
        <f>J187+Gastos[[#This Row],[Ingresa]]-Gastos[[#This Row],[Sale]]</f>
        <v>549171.00000000093</v>
      </c>
      <c r="K188" s="14">
        <f>Gastos[[#This Row],[Sale]]/Gastos[[#This Row],[Dólar]]</f>
        <v>0</v>
      </c>
      <c r="L188" s="2"/>
      <c r="N188" s="1"/>
      <c r="O188" s="1"/>
    </row>
    <row r="189" spans="2:15" x14ac:dyDescent="0.25">
      <c r="B189" s="33"/>
      <c r="C189" s="5"/>
      <c r="D189" s="7"/>
      <c r="E189" s="13"/>
      <c r="G189">
        <f t="shared" ref="G189:G220" si="9">G188</f>
        <v>1400</v>
      </c>
      <c r="H189" s="2"/>
      <c r="I189" s="2"/>
      <c r="J189" s="2">
        <f>J188+Gastos[[#This Row],[Ingresa]]-Gastos[[#This Row],[Sale]]</f>
        <v>549171.00000000093</v>
      </c>
      <c r="K189" s="14">
        <f>Gastos[[#This Row],[Sale]]/Gastos[[#This Row],[Dólar]]</f>
        <v>0</v>
      </c>
      <c r="L189" s="2"/>
      <c r="N189" s="1"/>
      <c r="O189" s="1"/>
    </row>
    <row r="190" spans="2:15" x14ac:dyDescent="0.25">
      <c r="B190" s="33"/>
      <c r="C190" s="5"/>
      <c r="G190">
        <f t="shared" si="9"/>
        <v>1400</v>
      </c>
      <c r="H190" s="2"/>
      <c r="I190" s="2"/>
      <c r="J190" s="2">
        <f>J189+Gastos[[#This Row],[Ingresa]]-Gastos[[#This Row],[Sale]]</f>
        <v>549171.00000000093</v>
      </c>
      <c r="K190" s="14">
        <f>Gastos[[#This Row],[Sale]]/Gastos[[#This Row],[Dólar]]</f>
        <v>0</v>
      </c>
      <c r="L190" s="2"/>
      <c r="N190" s="1"/>
      <c r="O190" s="1"/>
    </row>
    <row r="191" spans="2:15" x14ac:dyDescent="0.25">
      <c r="B191" s="33"/>
      <c r="C191" s="5"/>
      <c r="G191">
        <f t="shared" si="9"/>
        <v>1400</v>
      </c>
      <c r="H191" s="2"/>
      <c r="I191" s="2"/>
      <c r="J191" s="2">
        <f>J190+Gastos[[#This Row],[Ingresa]]-Gastos[[#This Row],[Sale]]</f>
        <v>549171.00000000093</v>
      </c>
      <c r="K191" s="14">
        <f>Gastos[[#This Row],[Sale]]/Gastos[[#This Row],[Dólar]]</f>
        <v>0</v>
      </c>
      <c r="L191" s="2"/>
      <c r="N191" s="1"/>
      <c r="O191" s="1"/>
    </row>
    <row r="192" spans="2:15" x14ac:dyDescent="0.25">
      <c r="B192" s="33"/>
      <c r="C192" s="5"/>
      <c r="G192">
        <f t="shared" si="9"/>
        <v>1400</v>
      </c>
      <c r="H192" s="2"/>
      <c r="I192" s="2"/>
      <c r="J192" s="2">
        <f>J191+Gastos[[#This Row],[Ingresa]]-Gastos[[#This Row],[Sale]]</f>
        <v>549171.00000000093</v>
      </c>
      <c r="K192" s="14">
        <f>Gastos[[#This Row],[Sale]]/Gastos[[#This Row],[Dólar]]</f>
        <v>0</v>
      </c>
      <c r="L192" s="2"/>
      <c r="N192" s="1"/>
      <c r="O192" s="1"/>
    </row>
    <row r="193" spans="2:15" x14ac:dyDescent="0.25">
      <c r="B193" s="33"/>
      <c r="C193" s="5"/>
      <c r="G193">
        <f t="shared" si="9"/>
        <v>1400</v>
      </c>
      <c r="H193" s="2"/>
      <c r="I193" s="2"/>
      <c r="J193" s="2">
        <f>J192+Gastos[[#This Row],[Ingresa]]-Gastos[[#This Row],[Sale]]</f>
        <v>549171.00000000093</v>
      </c>
      <c r="K193" s="14">
        <f>Gastos[[#This Row],[Sale]]/Gastos[[#This Row],[Dólar]]</f>
        <v>0</v>
      </c>
      <c r="L193" s="2"/>
      <c r="N193" s="1"/>
      <c r="O193" s="1"/>
    </row>
    <row r="194" spans="2:15" x14ac:dyDescent="0.25">
      <c r="B194" s="33"/>
      <c r="C194" s="5"/>
      <c r="G194">
        <f t="shared" si="9"/>
        <v>1400</v>
      </c>
      <c r="H194" s="2"/>
      <c r="I194" s="2"/>
      <c r="J194" s="2">
        <f>J193+Gastos[[#This Row],[Ingresa]]-Gastos[[#This Row],[Sale]]</f>
        <v>549171.00000000093</v>
      </c>
      <c r="K194" s="14">
        <f>Gastos[[#This Row],[Sale]]/Gastos[[#This Row],[Dólar]]</f>
        <v>0</v>
      </c>
      <c r="L194" s="2"/>
      <c r="N194" s="1"/>
      <c r="O194" s="1"/>
    </row>
    <row r="195" spans="2:15" x14ac:dyDescent="0.25">
      <c r="B195" s="33"/>
      <c r="C195" s="5"/>
      <c r="G195">
        <f t="shared" si="9"/>
        <v>1400</v>
      </c>
      <c r="H195" s="2"/>
      <c r="I195" s="2"/>
      <c r="J195" s="2">
        <f>J194+Gastos[[#This Row],[Ingresa]]-Gastos[[#This Row],[Sale]]</f>
        <v>549171.00000000093</v>
      </c>
      <c r="K195" s="14">
        <f>Gastos[[#This Row],[Sale]]/Gastos[[#This Row],[Dólar]]</f>
        <v>0</v>
      </c>
      <c r="L195" s="2"/>
      <c r="N195" s="1"/>
      <c r="O195" s="1"/>
    </row>
    <row r="196" spans="2:15" x14ac:dyDescent="0.25">
      <c r="B196" s="33"/>
      <c r="C196" s="5"/>
      <c r="G196">
        <f t="shared" si="9"/>
        <v>1400</v>
      </c>
      <c r="H196" s="2"/>
      <c r="I196" s="2"/>
      <c r="J196" s="2">
        <f>J195+Gastos[[#This Row],[Ingresa]]-Gastos[[#This Row],[Sale]]</f>
        <v>549171.00000000093</v>
      </c>
      <c r="K196" s="14">
        <f>Gastos[[#This Row],[Sale]]/Gastos[[#This Row],[Dólar]]</f>
        <v>0</v>
      </c>
      <c r="L196" s="2"/>
      <c r="N196" s="1"/>
      <c r="O196" s="1"/>
    </row>
    <row r="197" spans="2:15" x14ac:dyDescent="0.25">
      <c r="B197" s="33"/>
      <c r="C197" s="5"/>
      <c r="G197">
        <f t="shared" si="9"/>
        <v>1400</v>
      </c>
      <c r="H197" s="2"/>
      <c r="I197" s="2"/>
      <c r="J197" s="2">
        <f>J196+Gastos[[#This Row],[Ingresa]]-Gastos[[#This Row],[Sale]]</f>
        <v>549171.00000000093</v>
      </c>
      <c r="K197" s="14">
        <f>Gastos[[#This Row],[Sale]]/Gastos[[#This Row],[Dólar]]</f>
        <v>0</v>
      </c>
      <c r="L197" s="2"/>
      <c r="N197" s="1"/>
      <c r="O197" s="1"/>
    </row>
    <row r="198" spans="2:15" x14ac:dyDescent="0.25">
      <c r="B198" s="33"/>
      <c r="C198" s="5"/>
      <c r="G198">
        <f t="shared" si="9"/>
        <v>1400</v>
      </c>
      <c r="H198" s="2"/>
      <c r="I198" s="2"/>
      <c r="J198" s="2">
        <f>J197+Gastos[[#This Row],[Ingresa]]-Gastos[[#This Row],[Sale]]</f>
        <v>549171.00000000093</v>
      </c>
      <c r="K198" s="14">
        <f>Gastos[[#This Row],[Sale]]/Gastos[[#This Row],[Dólar]]</f>
        <v>0</v>
      </c>
      <c r="L198" s="2"/>
      <c r="N198" s="1"/>
      <c r="O198" s="1"/>
    </row>
    <row r="199" spans="2:15" x14ac:dyDescent="0.25">
      <c r="B199" s="33"/>
      <c r="C199" s="5"/>
      <c r="G199">
        <f t="shared" si="9"/>
        <v>1400</v>
      </c>
      <c r="H199" s="2"/>
      <c r="I199" s="2"/>
      <c r="J199" s="2">
        <f>J198+Gastos[[#This Row],[Ingresa]]-Gastos[[#This Row],[Sale]]</f>
        <v>549171.00000000093</v>
      </c>
      <c r="K199" s="14">
        <f>Gastos[[#This Row],[Sale]]/Gastos[[#This Row],[Dólar]]</f>
        <v>0</v>
      </c>
      <c r="L199" s="2"/>
      <c r="N199" s="1"/>
      <c r="O199" s="1"/>
    </row>
    <row r="200" spans="2:15" x14ac:dyDescent="0.25">
      <c r="B200" s="33"/>
      <c r="C200" s="5"/>
      <c r="G200">
        <f t="shared" si="9"/>
        <v>1400</v>
      </c>
      <c r="H200" s="2"/>
      <c r="I200" s="2"/>
      <c r="J200" s="2">
        <f>J199+Gastos[[#This Row],[Ingresa]]-Gastos[[#This Row],[Sale]]</f>
        <v>549171.00000000093</v>
      </c>
      <c r="K200" s="14">
        <f>Gastos[[#This Row],[Sale]]/Gastos[[#This Row],[Dólar]]</f>
        <v>0</v>
      </c>
      <c r="L200" s="2"/>
      <c r="N200" s="1"/>
      <c r="O200" s="1"/>
    </row>
    <row r="201" spans="2:15" x14ac:dyDescent="0.25">
      <c r="B201" s="33"/>
      <c r="C201" s="5"/>
      <c r="G201">
        <f t="shared" si="9"/>
        <v>1400</v>
      </c>
      <c r="H201" s="2"/>
      <c r="I201" s="2"/>
      <c r="J201" s="2">
        <f>J200+Gastos[[#This Row],[Ingresa]]-Gastos[[#This Row],[Sale]]</f>
        <v>549171.00000000093</v>
      </c>
      <c r="K201" s="14">
        <f>Gastos[[#This Row],[Sale]]/Gastos[[#This Row],[Dólar]]</f>
        <v>0</v>
      </c>
      <c r="L201" s="2"/>
      <c r="N201" s="1"/>
      <c r="O201" s="1"/>
    </row>
    <row r="202" spans="2:15" x14ac:dyDescent="0.25">
      <c r="B202" s="33"/>
      <c r="C202" s="5"/>
      <c r="G202">
        <f t="shared" si="9"/>
        <v>1400</v>
      </c>
      <c r="H202" s="2"/>
      <c r="I202" s="2"/>
      <c r="J202" s="2">
        <f>J201+Gastos[[#This Row],[Ingresa]]-Gastos[[#This Row],[Sale]]</f>
        <v>549171.00000000093</v>
      </c>
      <c r="K202" s="14">
        <f>Gastos[[#This Row],[Sale]]/Gastos[[#This Row],[Dólar]]</f>
        <v>0</v>
      </c>
      <c r="L202" s="2"/>
      <c r="N202" s="1"/>
      <c r="O202" s="1"/>
    </row>
    <row r="203" spans="2:15" x14ac:dyDescent="0.25">
      <c r="B203" s="33"/>
      <c r="C203" s="5"/>
      <c r="G203">
        <f t="shared" si="9"/>
        <v>1400</v>
      </c>
      <c r="H203" s="2"/>
      <c r="I203" s="2"/>
      <c r="J203" s="2">
        <f>J202+Gastos[[#This Row],[Ingresa]]-Gastos[[#This Row],[Sale]]</f>
        <v>549171.00000000093</v>
      </c>
      <c r="K203" s="14">
        <f>Gastos[[#This Row],[Sale]]/Gastos[[#This Row],[Dólar]]</f>
        <v>0</v>
      </c>
      <c r="L203" s="2"/>
      <c r="N203" s="1"/>
      <c r="O203" s="1"/>
    </row>
    <row r="204" spans="2:15" x14ac:dyDescent="0.25">
      <c r="B204" s="33"/>
      <c r="C204" s="5"/>
      <c r="D204" s="7"/>
      <c r="E204" s="13"/>
      <c r="G204">
        <f t="shared" si="9"/>
        <v>1400</v>
      </c>
      <c r="H204" s="2"/>
      <c r="I204" s="2"/>
      <c r="J204" s="2">
        <f>J203+Gastos[[#This Row],[Ingresa]]-Gastos[[#This Row],[Sale]]</f>
        <v>549171.00000000093</v>
      </c>
      <c r="K204" s="14">
        <f>Gastos[[#This Row],[Sale]]/Gastos[[#This Row],[Dólar]]</f>
        <v>0</v>
      </c>
      <c r="L204" s="2"/>
      <c r="N204" s="1"/>
      <c r="O204" s="1"/>
    </row>
    <row r="205" spans="2:15" x14ac:dyDescent="0.25">
      <c r="B205" s="33"/>
      <c r="C205" s="5"/>
      <c r="G205">
        <f t="shared" si="9"/>
        <v>1400</v>
      </c>
      <c r="H205" s="2"/>
      <c r="I205" s="2"/>
      <c r="J205" s="2">
        <f>J204+Gastos[[#This Row],[Ingresa]]-Gastos[[#This Row],[Sale]]</f>
        <v>549171.00000000093</v>
      </c>
      <c r="K205" s="14">
        <f>Gastos[[#This Row],[Sale]]/Gastos[[#This Row],[Dólar]]</f>
        <v>0</v>
      </c>
      <c r="L205" s="2"/>
      <c r="N205" s="1"/>
      <c r="O205" s="1"/>
    </row>
    <row r="206" spans="2:15" x14ac:dyDescent="0.25">
      <c r="B206" s="33"/>
      <c r="C206" s="5"/>
      <c r="G206">
        <f t="shared" si="9"/>
        <v>1400</v>
      </c>
      <c r="H206" s="2"/>
      <c r="I206" s="2"/>
      <c r="J206" s="2">
        <f>J205+Gastos[[#This Row],[Ingresa]]-Gastos[[#This Row],[Sale]]</f>
        <v>549171.00000000093</v>
      </c>
      <c r="K206" s="14">
        <f>Gastos[[#This Row],[Sale]]/Gastos[[#This Row],[Dólar]]</f>
        <v>0</v>
      </c>
      <c r="L206" s="2"/>
      <c r="N206" s="1"/>
      <c r="O206" s="1"/>
    </row>
    <row r="207" spans="2:15" x14ac:dyDescent="0.25">
      <c r="B207" s="33"/>
      <c r="C207" s="5"/>
      <c r="G207">
        <f t="shared" si="9"/>
        <v>1400</v>
      </c>
      <c r="H207" s="2"/>
      <c r="I207" s="2"/>
      <c r="J207" s="2">
        <f>J206+Gastos[[#This Row],[Ingresa]]-Gastos[[#This Row],[Sale]]</f>
        <v>549171.00000000093</v>
      </c>
      <c r="K207" s="14">
        <f>Gastos[[#This Row],[Sale]]/Gastos[[#This Row],[Dólar]]</f>
        <v>0</v>
      </c>
      <c r="L207" s="2"/>
      <c r="N207" s="1"/>
      <c r="O207" s="1"/>
    </row>
    <row r="208" spans="2:15" x14ac:dyDescent="0.25">
      <c r="B208" s="33"/>
      <c r="C208" s="5"/>
      <c r="G208">
        <f t="shared" si="9"/>
        <v>1400</v>
      </c>
      <c r="H208" s="2"/>
      <c r="I208" s="2"/>
      <c r="J208" s="2">
        <f>J207+Gastos[[#This Row],[Ingresa]]-Gastos[[#This Row],[Sale]]</f>
        <v>549171.00000000093</v>
      </c>
      <c r="K208" s="14">
        <f>Gastos[[#This Row],[Sale]]/Gastos[[#This Row],[Dólar]]</f>
        <v>0</v>
      </c>
      <c r="L208" s="2"/>
      <c r="N208" s="1"/>
      <c r="O208" s="1"/>
    </row>
    <row r="209" spans="2:15" x14ac:dyDescent="0.25">
      <c r="B209" s="33"/>
      <c r="C209" s="5"/>
      <c r="G209">
        <f t="shared" si="9"/>
        <v>1400</v>
      </c>
      <c r="H209" s="2"/>
      <c r="I209" s="2"/>
      <c r="J209" s="2">
        <f>J208+Gastos[[#This Row],[Ingresa]]-Gastos[[#This Row],[Sale]]</f>
        <v>549171.00000000093</v>
      </c>
      <c r="K209" s="14">
        <f>Gastos[[#This Row],[Sale]]/Gastos[[#This Row],[Dólar]]</f>
        <v>0</v>
      </c>
      <c r="L209" s="2"/>
      <c r="N209" s="1"/>
      <c r="O209" s="1"/>
    </row>
    <row r="210" spans="2:15" x14ac:dyDescent="0.25">
      <c r="B210" s="33"/>
      <c r="C210" s="5"/>
      <c r="G210">
        <f t="shared" si="9"/>
        <v>1400</v>
      </c>
      <c r="H210" s="2"/>
      <c r="I210" s="2"/>
      <c r="J210" s="2">
        <f>J209+Gastos[[#This Row],[Ingresa]]-Gastos[[#This Row],[Sale]]</f>
        <v>549171.00000000093</v>
      </c>
      <c r="K210" s="14">
        <f>Gastos[[#This Row],[Sale]]/Gastos[[#This Row],[Dólar]]</f>
        <v>0</v>
      </c>
      <c r="L210" s="2"/>
      <c r="N210" s="1"/>
      <c r="O210" s="1"/>
    </row>
    <row r="211" spans="2:15" x14ac:dyDescent="0.25">
      <c r="B211" s="33"/>
      <c r="C211" s="5"/>
      <c r="G211">
        <f t="shared" si="9"/>
        <v>1400</v>
      </c>
      <c r="H211" s="2"/>
      <c r="I211" s="2"/>
      <c r="J211" s="2">
        <f>J210+Gastos[[#This Row],[Ingresa]]-Gastos[[#This Row],[Sale]]</f>
        <v>549171.00000000093</v>
      </c>
      <c r="K211" s="14">
        <f>Gastos[[#This Row],[Sale]]/Gastos[[#This Row],[Dólar]]</f>
        <v>0</v>
      </c>
      <c r="L211" s="2"/>
      <c r="N211" s="1"/>
      <c r="O211" s="1"/>
    </row>
    <row r="212" spans="2:15" x14ac:dyDescent="0.25">
      <c r="B212" s="33"/>
      <c r="C212" s="5"/>
      <c r="G212">
        <f t="shared" si="9"/>
        <v>1400</v>
      </c>
      <c r="H212" s="2"/>
      <c r="I212" s="2"/>
      <c r="J212" s="2">
        <f>J211+Gastos[[#This Row],[Ingresa]]-Gastos[[#This Row],[Sale]]</f>
        <v>549171.00000000093</v>
      </c>
      <c r="K212" s="14">
        <f>Gastos[[#This Row],[Sale]]/Gastos[[#This Row],[Dólar]]</f>
        <v>0</v>
      </c>
      <c r="L212" s="2"/>
      <c r="N212" s="1"/>
      <c r="O212" s="1"/>
    </row>
    <row r="213" spans="2:15" x14ac:dyDescent="0.25">
      <c r="B213" s="33"/>
      <c r="C213" s="5"/>
      <c r="G213">
        <f t="shared" si="9"/>
        <v>1400</v>
      </c>
      <c r="H213" s="2"/>
      <c r="I213" s="2"/>
      <c r="J213" s="2">
        <f>J212+Gastos[[#This Row],[Ingresa]]-Gastos[[#This Row],[Sale]]</f>
        <v>549171.00000000093</v>
      </c>
      <c r="K213" s="14">
        <f>Gastos[[#This Row],[Sale]]/Gastos[[#This Row],[Dólar]]</f>
        <v>0</v>
      </c>
      <c r="L213" s="2"/>
      <c r="N213" s="1"/>
      <c r="O213" s="1"/>
    </row>
    <row r="214" spans="2:15" x14ac:dyDescent="0.25">
      <c r="B214" s="33"/>
      <c r="C214" s="5"/>
      <c r="G214">
        <f t="shared" si="9"/>
        <v>1400</v>
      </c>
      <c r="H214" s="2"/>
      <c r="I214" s="2"/>
      <c r="J214" s="2">
        <f>J213+Gastos[[#This Row],[Ingresa]]-Gastos[[#This Row],[Sale]]</f>
        <v>549171.00000000093</v>
      </c>
      <c r="K214" s="14">
        <f>Gastos[[#This Row],[Sale]]/Gastos[[#This Row],[Dólar]]</f>
        <v>0</v>
      </c>
      <c r="L214" s="2"/>
      <c r="N214" s="1"/>
      <c r="O214" s="1"/>
    </row>
    <row r="215" spans="2:15" x14ac:dyDescent="0.25">
      <c r="B215" s="33"/>
      <c r="C215" s="5"/>
      <c r="G215">
        <f t="shared" si="9"/>
        <v>1400</v>
      </c>
      <c r="H215" s="2"/>
      <c r="I215" s="2"/>
      <c r="J215" s="2">
        <f>J214+Gastos[[#This Row],[Ingresa]]-Gastos[[#This Row],[Sale]]</f>
        <v>549171.00000000093</v>
      </c>
      <c r="K215" s="14">
        <f>Gastos[[#This Row],[Sale]]/Gastos[[#This Row],[Dólar]]</f>
        <v>0</v>
      </c>
      <c r="L215" s="2"/>
      <c r="N215" s="1"/>
      <c r="O215" s="1"/>
    </row>
    <row r="216" spans="2:15" x14ac:dyDescent="0.25">
      <c r="B216" s="33"/>
      <c r="C216" s="5"/>
      <c r="G216">
        <f t="shared" si="9"/>
        <v>1400</v>
      </c>
      <c r="H216" s="2"/>
      <c r="I216" s="2"/>
      <c r="J216" s="2">
        <f>J215+Gastos[[#This Row],[Ingresa]]-Gastos[[#This Row],[Sale]]</f>
        <v>549171.00000000093</v>
      </c>
      <c r="K216" s="14">
        <f>Gastos[[#This Row],[Sale]]/Gastos[[#This Row],[Dólar]]</f>
        <v>0</v>
      </c>
      <c r="L216" s="2"/>
      <c r="N216" s="1"/>
      <c r="O216" s="1"/>
    </row>
    <row r="217" spans="2:15" x14ac:dyDescent="0.25">
      <c r="B217" s="33"/>
      <c r="C217" s="5"/>
      <c r="G217">
        <f t="shared" si="9"/>
        <v>1400</v>
      </c>
      <c r="H217" s="2"/>
      <c r="I217" s="2"/>
      <c r="J217" s="2">
        <f>J216+Gastos[[#This Row],[Ingresa]]-Gastos[[#This Row],[Sale]]</f>
        <v>549171.00000000093</v>
      </c>
      <c r="K217" s="14">
        <f>Gastos[[#This Row],[Sale]]/Gastos[[#This Row],[Dólar]]</f>
        <v>0</v>
      </c>
      <c r="L217" s="2"/>
      <c r="N217" s="1"/>
      <c r="O217" s="1"/>
    </row>
    <row r="218" spans="2:15" x14ac:dyDescent="0.25">
      <c r="B218" s="33"/>
      <c r="C218" s="5"/>
      <c r="D218" s="7"/>
      <c r="E218" s="13"/>
      <c r="G218">
        <f t="shared" si="9"/>
        <v>1400</v>
      </c>
      <c r="H218" s="2"/>
      <c r="I218" s="2"/>
      <c r="J218" s="2">
        <f>J217+Gastos[[#This Row],[Ingresa]]-Gastos[[#This Row],[Sale]]</f>
        <v>549171.00000000093</v>
      </c>
      <c r="K218" s="14">
        <f>Gastos[[#This Row],[Sale]]/Gastos[[#This Row],[Dólar]]</f>
        <v>0</v>
      </c>
      <c r="L218" s="2"/>
      <c r="N218" s="1"/>
      <c r="O218" s="1"/>
    </row>
    <row r="219" spans="2:15" x14ac:dyDescent="0.25">
      <c r="B219" s="33"/>
      <c r="C219" s="5"/>
      <c r="G219">
        <f t="shared" si="9"/>
        <v>1400</v>
      </c>
      <c r="H219" s="2"/>
      <c r="I219" s="2"/>
      <c r="J219" s="2">
        <f>J218+Gastos[[#This Row],[Ingresa]]-Gastos[[#This Row],[Sale]]</f>
        <v>549171.00000000093</v>
      </c>
      <c r="K219" s="14">
        <f>Gastos[[#This Row],[Sale]]/Gastos[[#This Row],[Dólar]]</f>
        <v>0</v>
      </c>
      <c r="L219" s="2"/>
      <c r="N219" s="1"/>
      <c r="O219" s="1"/>
    </row>
    <row r="220" spans="2:15" x14ac:dyDescent="0.25">
      <c r="B220" s="33"/>
      <c r="C220" s="5"/>
      <c r="G220">
        <f t="shared" si="9"/>
        <v>1400</v>
      </c>
      <c r="H220" s="2"/>
      <c r="I220" s="2"/>
      <c r="J220" s="2">
        <f>J219+Gastos[[#This Row],[Ingresa]]-Gastos[[#This Row],[Sale]]</f>
        <v>549171.00000000093</v>
      </c>
      <c r="K220" s="14">
        <f>Gastos[[#This Row],[Sale]]/Gastos[[#This Row],[Dólar]]</f>
        <v>0</v>
      </c>
      <c r="L220" s="2"/>
      <c r="N220" s="1"/>
      <c r="O220" s="1"/>
    </row>
    <row r="221" spans="2:15" x14ac:dyDescent="0.25">
      <c r="B221" s="33"/>
      <c r="C221" s="5"/>
      <c r="G221">
        <f t="shared" ref="G221:G242" si="10">G220</f>
        <v>1400</v>
      </c>
      <c r="H221" s="2"/>
      <c r="I221" s="2"/>
      <c r="J221" s="2">
        <f>J220+Gastos[[#This Row],[Ingresa]]-Gastos[[#This Row],[Sale]]</f>
        <v>549171.00000000093</v>
      </c>
      <c r="K221" s="14">
        <f>Gastos[[#This Row],[Sale]]/Gastos[[#This Row],[Dólar]]</f>
        <v>0</v>
      </c>
      <c r="L221" s="2"/>
      <c r="N221" s="1"/>
      <c r="O221" s="1"/>
    </row>
    <row r="222" spans="2:15" x14ac:dyDescent="0.25">
      <c r="B222" s="33"/>
      <c r="C222" s="5"/>
      <c r="D222" s="7"/>
      <c r="E222" s="13"/>
      <c r="G222">
        <f t="shared" si="10"/>
        <v>1400</v>
      </c>
      <c r="H222" s="2"/>
      <c r="I222" s="2"/>
      <c r="J222" s="2">
        <f>J221+Gastos[[#This Row],[Ingresa]]-Gastos[[#This Row],[Sale]]</f>
        <v>549171.00000000093</v>
      </c>
      <c r="K222" s="14">
        <f>Gastos[[#This Row],[Sale]]/Gastos[[#This Row],[Dólar]]</f>
        <v>0</v>
      </c>
      <c r="L222" s="2"/>
      <c r="N222" s="1"/>
      <c r="O222" s="1"/>
    </row>
    <row r="223" spans="2:15" x14ac:dyDescent="0.25">
      <c r="B223" s="33"/>
      <c r="C223" s="5"/>
      <c r="G223">
        <f t="shared" si="10"/>
        <v>1400</v>
      </c>
      <c r="H223" s="2"/>
      <c r="I223" s="2"/>
      <c r="J223" s="2">
        <f>J222+Gastos[[#This Row],[Ingresa]]-Gastos[[#This Row],[Sale]]</f>
        <v>549171.00000000093</v>
      </c>
      <c r="K223" s="14">
        <f>Gastos[[#This Row],[Sale]]/Gastos[[#This Row],[Dólar]]</f>
        <v>0</v>
      </c>
      <c r="L223" s="2"/>
      <c r="N223" s="1"/>
      <c r="O223" s="1"/>
    </row>
    <row r="224" spans="2:15" x14ac:dyDescent="0.25">
      <c r="B224" s="33"/>
      <c r="C224" s="5"/>
      <c r="G224">
        <f t="shared" si="10"/>
        <v>1400</v>
      </c>
      <c r="H224" s="2"/>
      <c r="I224" s="2"/>
      <c r="J224" s="2">
        <f>J223+Gastos[[#This Row],[Ingresa]]-Gastos[[#This Row],[Sale]]</f>
        <v>549171.00000000093</v>
      </c>
      <c r="K224" s="14">
        <f>Gastos[[#This Row],[Sale]]/Gastos[[#This Row],[Dólar]]</f>
        <v>0</v>
      </c>
      <c r="L224" s="2"/>
      <c r="N224" s="1"/>
      <c r="O224" s="1"/>
    </row>
    <row r="225" spans="2:15" x14ac:dyDescent="0.25">
      <c r="B225" s="33"/>
      <c r="C225" s="5"/>
      <c r="G225">
        <f t="shared" si="10"/>
        <v>1400</v>
      </c>
      <c r="H225" s="2"/>
      <c r="I225" s="2"/>
      <c r="J225" s="2">
        <f>J224+Gastos[[#This Row],[Ingresa]]-Gastos[[#This Row],[Sale]]</f>
        <v>549171.00000000093</v>
      </c>
      <c r="K225" s="14">
        <f>Gastos[[#This Row],[Sale]]/Gastos[[#This Row],[Dólar]]</f>
        <v>0</v>
      </c>
      <c r="L225" s="2"/>
      <c r="N225" s="1"/>
      <c r="O225" s="1"/>
    </row>
    <row r="226" spans="2:15" x14ac:dyDescent="0.25">
      <c r="B226" s="33"/>
      <c r="C226" s="5"/>
      <c r="G226">
        <f t="shared" si="10"/>
        <v>1400</v>
      </c>
      <c r="H226" s="2"/>
      <c r="I226" s="2"/>
      <c r="J226" s="2">
        <f>J225+Gastos[[#This Row],[Ingresa]]-Gastos[[#This Row],[Sale]]</f>
        <v>549171.00000000093</v>
      </c>
      <c r="K226" s="14">
        <f>Gastos[[#This Row],[Sale]]/Gastos[[#This Row],[Dólar]]</f>
        <v>0</v>
      </c>
      <c r="L226" s="2"/>
      <c r="N226" s="1"/>
      <c r="O226" s="1"/>
    </row>
    <row r="227" spans="2:15" x14ac:dyDescent="0.25">
      <c r="B227" s="33"/>
      <c r="C227" s="5"/>
      <c r="G227">
        <f t="shared" si="10"/>
        <v>1400</v>
      </c>
      <c r="H227" s="2"/>
      <c r="I227" s="2"/>
      <c r="J227" s="2">
        <f>J226+Gastos[[#This Row],[Ingresa]]-Gastos[[#This Row],[Sale]]</f>
        <v>549171.00000000093</v>
      </c>
      <c r="K227" s="14">
        <f>Gastos[[#This Row],[Sale]]/Gastos[[#This Row],[Dólar]]</f>
        <v>0</v>
      </c>
      <c r="L227" s="2"/>
      <c r="N227" s="1"/>
      <c r="O227" s="1"/>
    </row>
    <row r="228" spans="2:15" x14ac:dyDescent="0.25">
      <c r="B228" s="33"/>
      <c r="C228" s="5"/>
      <c r="G228">
        <f t="shared" si="10"/>
        <v>1400</v>
      </c>
      <c r="H228" s="2"/>
      <c r="I228" s="2"/>
      <c r="J228" s="2">
        <f>J227+Gastos[[#This Row],[Ingresa]]-Gastos[[#This Row],[Sale]]</f>
        <v>549171.00000000093</v>
      </c>
      <c r="K228" s="14">
        <f>Gastos[[#This Row],[Sale]]/Gastos[[#This Row],[Dólar]]</f>
        <v>0</v>
      </c>
      <c r="L228" s="2"/>
      <c r="N228" s="1"/>
      <c r="O228" s="1"/>
    </row>
    <row r="229" spans="2:15" x14ac:dyDescent="0.25">
      <c r="B229" s="33"/>
      <c r="C229" s="5"/>
      <c r="G229">
        <f t="shared" si="10"/>
        <v>1400</v>
      </c>
      <c r="H229" s="2"/>
      <c r="I229" s="2"/>
      <c r="J229" s="2">
        <f>J228+Gastos[[#This Row],[Ingresa]]-Gastos[[#This Row],[Sale]]</f>
        <v>549171.00000000093</v>
      </c>
      <c r="K229" s="14">
        <f>Gastos[[#This Row],[Sale]]/Gastos[[#This Row],[Dólar]]</f>
        <v>0</v>
      </c>
      <c r="L229" s="2"/>
      <c r="N229" s="1"/>
      <c r="O229" s="1"/>
    </row>
    <row r="230" spans="2:15" x14ac:dyDescent="0.25">
      <c r="B230" s="33"/>
      <c r="C230" s="5"/>
      <c r="G230">
        <f t="shared" si="10"/>
        <v>1400</v>
      </c>
      <c r="H230" s="2"/>
      <c r="I230" s="2"/>
      <c r="J230" s="2">
        <f>J229+Gastos[[#This Row],[Ingresa]]-Gastos[[#This Row],[Sale]]</f>
        <v>549171.00000000093</v>
      </c>
      <c r="K230" s="14">
        <f>Gastos[[#This Row],[Sale]]/Gastos[[#This Row],[Dólar]]</f>
        <v>0</v>
      </c>
      <c r="L230" s="2"/>
      <c r="N230" s="1"/>
      <c r="O230" s="1"/>
    </row>
    <row r="231" spans="2:15" x14ac:dyDescent="0.25">
      <c r="B231" s="33"/>
      <c r="C231" s="5"/>
      <c r="G231">
        <f t="shared" si="10"/>
        <v>1400</v>
      </c>
      <c r="H231" s="2"/>
      <c r="I231" s="2"/>
      <c r="J231" s="2">
        <f>J230+Gastos[[#This Row],[Ingresa]]-Gastos[[#This Row],[Sale]]</f>
        <v>549171.00000000093</v>
      </c>
      <c r="K231" s="14">
        <f>Gastos[[#This Row],[Sale]]/Gastos[[#This Row],[Dólar]]</f>
        <v>0</v>
      </c>
      <c r="L231" s="2"/>
      <c r="N231" s="1"/>
      <c r="O231" s="1"/>
    </row>
    <row r="232" spans="2:15" x14ac:dyDescent="0.25">
      <c r="B232" s="33"/>
      <c r="C232" s="5"/>
      <c r="G232">
        <f t="shared" si="10"/>
        <v>1400</v>
      </c>
      <c r="H232" s="2"/>
      <c r="I232" s="2"/>
      <c r="J232" s="2">
        <f>J231+Gastos[[#This Row],[Ingresa]]-Gastos[[#This Row],[Sale]]</f>
        <v>549171.00000000093</v>
      </c>
      <c r="K232" s="14">
        <f>Gastos[[#This Row],[Sale]]/Gastos[[#This Row],[Dólar]]</f>
        <v>0</v>
      </c>
      <c r="L232" s="2"/>
      <c r="N232" s="1"/>
      <c r="O232" s="1"/>
    </row>
    <row r="233" spans="2:15" x14ac:dyDescent="0.25">
      <c r="B233" s="33"/>
      <c r="C233" s="5"/>
      <c r="G233">
        <f t="shared" si="10"/>
        <v>1400</v>
      </c>
      <c r="H233" s="2"/>
      <c r="I233" s="2"/>
      <c r="J233" s="2">
        <f>J232+Gastos[[#This Row],[Ingresa]]-Gastos[[#This Row],[Sale]]</f>
        <v>549171.00000000093</v>
      </c>
      <c r="K233" s="14">
        <f>Gastos[[#This Row],[Sale]]/Gastos[[#This Row],[Dólar]]</f>
        <v>0</v>
      </c>
      <c r="L233" s="2"/>
      <c r="N233" s="1"/>
      <c r="O233" s="1"/>
    </row>
    <row r="234" spans="2:15" x14ac:dyDescent="0.25">
      <c r="B234" s="33"/>
      <c r="C234" s="5"/>
      <c r="G234">
        <f t="shared" si="10"/>
        <v>1400</v>
      </c>
      <c r="H234" s="2"/>
      <c r="I234" s="2"/>
      <c r="J234" s="2">
        <f>J233+Gastos[[#This Row],[Ingresa]]-Gastos[[#This Row],[Sale]]</f>
        <v>549171.00000000093</v>
      </c>
      <c r="K234" s="14">
        <f>Gastos[[#This Row],[Sale]]/Gastos[[#This Row],[Dólar]]</f>
        <v>0</v>
      </c>
      <c r="L234" s="2"/>
      <c r="N234" s="1"/>
      <c r="O234" s="1"/>
    </row>
    <row r="235" spans="2:15" x14ac:dyDescent="0.25">
      <c r="B235" s="33"/>
      <c r="C235" s="5"/>
      <c r="G235">
        <f t="shared" si="10"/>
        <v>1400</v>
      </c>
      <c r="H235" s="2"/>
      <c r="I235" s="2"/>
      <c r="J235" s="2">
        <f>J234+Gastos[[#This Row],[Ingresa]]-Gastos[[#This Row],[Sale]]</f>
        <v>549171.00000000093</v>
      </c>
      <c r="K235" s="14">
        <f>Gastos[[#This Row],[Sale]]/Gastos[[#This Row],[Dólar]]</f>
        <v>0</v>
      </c>
      <c r="L235" s="2"/>
      <c r="N235" s="1"/>
      <c r="O235" s="1"/>
    </row>
    <row r="236" spans="2:15" x14ac:dyDescent="0.25">
      <c r="B236" s="33"/>
      <c r="C236" s="5"/>
      <c r="G236">
        <f t="shared" si="10"/>
        <v>1400</v>
      </c>
      <c r="H236" s="2"/>
      <c r="I236" s="2"/>
      <c r="J236" s="2">
        <f>J235+Gastos[[#This Row],[Ingresa]]-Gastos[[#This Row],[Sale]]</f>
        <v>549171.00000000093</v>
      </c>
      <c r="K236" s="14">
        <f>Gastos[[#This Row],[Sale]]/Gastos[[#This Row],[Dólar]]</f>
        <v>0</v>
      </c>
      <c r="L236" s="2"/>
      <c r="N236" s="1"/>
      <c r="O236" s="1"/>
    </row>
    <row r="237" spans="2:15" x14ac:dyDescent="0.25">
      <c r="B237" s="33"/>
      <c r="C237" s="5"/>
      <c r="G237">
        <f t="shared" si="10"/>
        <v>1400</v>
      </c>
      <c r="H237" s="2"/>
      <c r="I237" s="2"/>
      <c r="J237" s="2">
        <f>J236+Gastos[[#This Row],[Ingresa]]-Gastos[[#This Row],[Sale]]</f>
        <v>549171.00000000093</v>
      </c>
      <c r="K237" s="14">
        <f>Gastos[[#This Row],[Sale]]/Gastos[[#This Row],[Dólar]]</f>
        <v>0</v>
      </c>
      <c r="L237" s="2"/>
      <c r="N237" s="1"/>
      <c r="O237" s="1"/>
    </row>
    <row r="238" spans="2:15" x14ac:dyDescent="0.25">
      <c r="B238" s="33"/>
      <c r="C238" s="5"/>
      <c r="G238">
        <f t="shared" si="10"/>
        <v>1400</v>
      </c>
      <c r="H238" s="2"/>
      <c r="I238" s="2"/>
      <c r="J238" s="2">
        <f>J237+Gastos[[#This Row],[Ingresa]]-Gastos[[#This Row],[Sale]]</f>
        <v>549171.00000000093</v>
      </c>
      <c r="K238" s="14">
        <f>Gastos[[#This Row],[Sale]]/Gastos[[#This Row],[Dólar]]</f>
        <v>0</v>
      </c>
      <c r="L238" s="2"/>
      <c r="N238" s="1"/>
      <c r="O238" s="1"/>
    </row>
    <row r="239" spans="2:15" x14ac:dyDescent="0.25">
      <c r="B239" s="33"/>
      <c r="C239" s="5"/>
      <c r="G239">
        <f t="shared" si="10"/>
        <v>1400</v>
      </c>
      <c r="H239" s="2"/>
      <c r="I239" s="2"/>
      <c r="J239" s="2">
        <f>J238+Gastos[[#This Row],[Ingresa]]-Gastos[[#This Row],[Sale]]</f>
        <v>549171.00000000093</v>
      </c>
      <c r="K239" s="14">
        <f>Gastos[[#This Row],[Sale]]/Gastos[[#This Row],[Dólar]]</f>
        <v>0</v>
      </c>
      <c r="L239" s="2"/>
      <c r="N239" s="1"/>
      <c r="O239" s="1"/>
    </row>
    <row r="240" spans="2:15" x14ac:dyDescent="0.25">
      <c r="B240" s="33"/>
      <c r="C240" s="5"/>
      <c r="G240">
        <f t="shared" si="10"/>
        <v>1400</v>
      </c>
      <c r="H240" s="2"/>
      <c r="I240" s="2"/>
      <c r="J240" s="2">
        <f>J239+Gastos[[#This Row],[Ingresa]]-Gastos[[#This Row],[Sale]]</f>
        <v>549171.00000000093</v>
      </c>
      <c r="K240" s="14">
        <f>Gastos[[#This Row],[Sale]]/Gastos[[#This Row],[Dólar]]</f>
        <v>0</v>
      </c>
      <c r="L240" s="2"/>
      <c r="N240" s="1"/>
      <c r="O240" s="1"/>
    </row>
    <row r="241" spans="2:15" x14ac:dyDescent="0.25">
      <c r="B241" s="33"/>
      <c r="C241" s="5"/>
      <c r="G241">
        <f t="shared" si="10"/>
        <v>1400</v>
      </c>
      <c r="H241" s="2"/>
      <c r="I241" s="2"/>
      <c r="J241" s="2">
        <f>J240+Gastos[[#This Row],[Ingresa]]-Gastos[[#This Row],[Sale]]</f>
        <v>549171.00000000093</v>
      </c>
      <c r="K241" s="14">
        <f>Gastos[[#This Row],[Sale]]/Gastos[[#This Row],[Dólar]]</f>
        <v>0</v>
      </c>
      <c r="L241" s="2"/>
      <c r="N241" s="1"/>
      <c r="O241" s="1"/>
    </row>
    <row r="242" spans="2:15" x14ac:dyDescent="0.25">
      <c r="B242" s="33"/>
      <c r="C242" s="5"/>
      <c r="G242">
        <f t="shared" si="10"/>
        <v>1400</v>
      </c>
      <c r="H242" s="2"/>
      <c r="I242" s="2"/>
      <c r="J242" s="2">
        <f>J241+Gastos[[#This Row],[Ingresa]]-Gastos[[#This Row],[Sale]]</f>
        <v>549171.00000000093</v>
      </c>
      <c r="K242" s="14">
        <f>Gastos[[#This Row],[Sale]]/Gastos[[#This Row],[Dólar]]</f>
        <v>0</v>
      </c>
      <c r="L242" s="2"/>
      <c r="N242" s="1"/>
      <c r="O242" s="1"/>
    </row>
    <row r="243" spans="2:15" x14ac:dyDescent="0.25">
      <c r="N243" s="1"/>
      <c r="O243" s="1"/>
    </row>
    <row r="266" spans="16:16" x14ac:dyDescent="0.25">
      <c r="P266" s="2"/>
    </row>
    <row r="267" spans="16:16" x14ac:dyDescent="0.25">
      <c r="P267" s="2"/>
    </row>
    <row r="276" spans="12:12" x14ac:dyDescent="0.25">
      <c r="L276" s="12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38"/>
  <sheetViews>
    <sheetView showGridLines="0" workbookViewId="0">
      <selection activeCell="G7" sqref="G7"/>
    </sheetView>
  </sheetViews>
  <sheetFormatPr baseColWidth="10" defaultColWidth="10.7109375" defaultRowHeight="15" x14ac:dyDescent="0.25"/>
  <cols>
    <col min="1" max="1" width="1.5703125" customWidth="1"/>
    <col min="2" max="2" width="18.7109375" customWidth="1"/>
    <col min="3" max="3" width="14.5703125" customWidth="1"/>
    <col min="4" max="4" width="13.140625" customWidth="1"/>
    <col min="5" max="5" width="8.42578125" customWidth="1"/>
    <col min="6" max="6" width="25.7109375" customWidth="1"/>
    <col min="7" max="7" width="11.5703125" bestFit="1" customWidth="1"/>
    <col min="11" max="11" width="14.7109375" customWidth="1"/>
  </cols>
  <sheetData>
    <row r="1" spans="2:10" ht="8.25" customHeight="1" x14ac:dyDescent="0.25"/>
    <row r="2" spans="2:10" x14ac:dyDescent="0.25">
      <c r="B2" s="16" t="s">
        <v>101</v>
      </c>
      <c r="C2" s="1" t="s">
        <v>17</v>
      </c>
      <c r="D2" t="s">
        <v>102</v>
      </c>
      <c r="F2" t="s">
        <v>103</v>
      </c>
      <c r="G2" s="20">
        <f>13*10.65</f>
        <v>138.45000000000002</v>
      </c>
      <c r="H2" s="22"/>
    </row>
    <row r="3" spans="2:10" x14ac:dyDescent="0.25">
      <c r="B3" s="17" t="s">
        <v>40</v>
      </c>
      <c r="C3" s="3">
        <v>875.52447552447552</v>
      </c>
      <c r="D3" s="18">
        <v>0.87179799632688948</v>
      </c>
      <c r="E3" s="18"/>
      <c r="F3" t="s">
        <v>104</v>
      </c>
      <c r="G3" s="20">
        <v>0</v>
      </c>
    </row>
    <row r="4" spans="2:10" x14ac:dyDescent="0.25">
      <c r="B4" s="17" t="s">
        <v>29</v>
      </c>
      <c r="C4" s="3">
        <v>128.75</v>
      </c>
      <c r="D4" s="18">
        <v>0.1282020036731106</v>
      </c>
      <c r="E4" s="18"/>
      <c r="F4" t="s">
        <v>105</v>
      </c>
      <c r="G4" s="24">
        <v>3</v>
      </c>
      <c r="H4" s="22" t="s">
        <v>106</v>
      </c>
    </row>
    <row r="5" spans="2:10" x14ac:dyDescent="0.25">
      <c r="B5" s="17" t="s">
        <v>107</v>
      </c>
      <c r="C5" s="3">
        <v>1004.274475524476</v>
      </c>
      <c r="D5" s="18">
        <v>1</v>
      </c>
      <c r="E5" s="18"/>
      <c r="F5" t="s">
        <v>108</v>
      </c>
      <c r="G5" s="2">
        <v>46520</v>
      </c>
      <c r="H5" s="23" t="s">
        <v>109</v>
      </c>
    </row>
    <row r="6" spans="2:10" x14ac:dyDescent="0.25">
      <c r="E6" s="18"/>
      <c r="F6" t="s">
        <v>110</v>
      </c>
      <c r="G6" s="2">
        <v>10000</v>
      </c>
      <c r="H6" s="22" t="s">
        <v>111</v>
      </c>
    </row>
    <row r="7" spans="2:10" x14ac:dyDescent="0.25">
      <c r="E7" s="18"/>
      <c r="F7" t="s">
        <v>112</v>
      </c>
      <c r="G7" s="2">
        <f>Cajas!Q33</f>
        <v>3500</v>
      </c>
      <c r="H7" s="22" t="s">
        <v>113</v>
      </c>
    </row>
    <row r="8" spans="2:10" x14ac:dyDescent="0.25">
      <c r="E8" s="18"/>
      <c r="F8" t="s">
        <v>114</v>
      </c>
      <c r="G8" s="2">
        <f>Cajas!J242/Cajas!G242</f>
        <v>392.26500000000067</v>
      </c>
      <c r="H8" s="22" t="s">
        <v>115</v>
      </c>
    </row>
    <row r="9" spans="2:10" x14ac:dyDescent="0.25">
      <c r="E9" s="18"/>
      <c r="F9" t="s">
        <v>116</v>
      </c>
      <c r="G9" s="2">
        <f>GETPIVOTDATA("Dolares",$B$2)</f>
        <v>1004.274475524476</v>
      </c>
      <c r="H9" s="19">
        <f>G9/$G$5</f>
        <v>2.1588015381007651E-2</v>
      </c>
      <c r="I9" s="22" t="s">
        <v>117</v>
      </c>
    </row>
    <row r="10" spans="2:10" x14ac:dyDescent="0.25">
      <c r="E10" s="18"/>
      <c r="F10" t="s">
        <v>118</v>
      </c>
      <c r="G10" s="2">
        <f>G5-G9</f>
        <v>45515.725524475522</v>
      </c>
      <c r="H10" s="19">
        <f>G10/$G$5</f>
        <v>0.97841198461899226</v>
      </c>
      <c r="I10" s="22" t="s">
        <v>119</v>
      </c>
    </row>
    <row r="11" spans="2:10" x14ac:dyDescent="0.25">
      <c r="E11" s="18"/>
      <c r="F11" t="s">
        <v>120</v>
      </c>
      <c r="G11" s="2">
        <f>G10/2</f>
        <v>22757.862762237761</v>
      </c>
      <c r="H11" s="2">
        <f>G11/G4</f>
        <v>7585.9542540792536</v>
      </c>
      <c r="I11" t="s">
        <v>121</v>
      </c>
    </row>
    <row r="12" spans="2:10" x14ac:dyDescent="0.25">
      <c r="E12" s="18"/>
      <c r="F12" t="s">
        <v>122</v>
      </c>
      <c r="G12" s="2">
        <f>G10/2</f>
        <v>22757.862762237761</v>
      </c>
      <c r="H12" s="2">
        <f>G12/G4</f>
        <v>7585.9542540792536</v>
      </c>
      <c r="I12" t="s">
        <v>121</v>
      </c>
    </row>
    <row r="13" spans="2:10" x14ac:dyDescent="0.25">
      <c r="E13" s="18"/>
      <c r="F13" t="s">
        <v>123</v>
      </c>
      <c r="G13" s="2"/>
      <c r="H13" s="2"/>
      <c r="J13" s="3"/>
    </row>
    <row r="14" spans="2:10" x14ac:dyDescent="0.25">
      <c r="E14" s="18"/>
      <c r="F14" t="s">
        <v>124</v>
      </c>
      <c r="G14" s="2"/>
      <c r="H14" s="2"/>
      <c r="J14" s="3"/>
    </row>
    <row r="15" spans="2:10" x14ac:dyDescent="0.25">
      <c r="E15" s="18"/>
    </row>
    <row r="16" spans="2:10" x14ac:dyDescent="0.25">
      <c r="E16" s="18"/>
      <c r="G16" s="2"/>
    </row>
    <row r="17" spans="5:19" x14ac:dyDescent="0.25">
      <c r="E17" s="18"/>
      <c r="G17" s="2"/>
      <c r="S17" s="3"/>
    </row>
    <row r="18" spans="5:19" x14ac:dyDescent="0.25">
      <c r="E18" s="18"/>
      <c r="G18" s="2"/>
    </row>
    <row r="19" spans="5:19" x14ac:dyDescent="0.25">
      <c r="E19" s="18"/>
    </row>
    <row r="20" spans="5:19" x14ac:dyDescent="0.25">
      <c r="E20" s="18"/>
    </row>
    <row r="21" spans="5:19" x14ac:dyDescent="0.25">
      <c r="E21" s="18"/>
    </row>
    <row r="37" spans="2:2" x14ac:dyDescent="0.25">
      <c r="B37" s="21"/>
    </row>
    <row r="38" spans="2:2" x14ac:dyDescent="0.25">
      <c r="B38" s="21"/>
    </row>
  </sheetData>
  <pageMargins left="0.23622047244094491" right="0.23622047244094491" top="0.35433070866141742" bottom="0.15748031496062989" header="0.31496062992125978" footer="0.31496062992125978"/>
  <pageSetup paperSize="9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4"/>
  <sheetViews>
    <sheetView workbookViewId="0">
      <selection activeCell="A3" sqref="A3"/>
    </sheetView>
  </sheetViews>
  <sheetFormatPr baseColWidth="10" defaultColWidth="10.7109375" defaultRowHeight="15" x14ac:dyDescent="0.25"/>
  <cols>
    <col min="1" max="1" width="17.5703125" bestFit="1" customWidth="1"/>
    <col min="2" max="2" width="13" bestFit="1" customWidth="1"/>
    <col min="5" max="5" width="17.5703125" bestFit="1" customWidth="1"/>
    <col min="6" max="6" width="3.5703125" bestFit="1" customWidth="1"/>
    <col min="7" max="7" width="4" bestFit="1" customWidth="1"/>
    <col min="8" max="112" width="22.42578125" bestFit="1" customWidth="1"/>
    <col min="113" max="113" width="14" bestFit="1" customWidth="1"/>
  </cols>
  <sheetData>
    <row r="3" spans="1:7" x14ac:dyDescent="0.25">
      <c r="A3" s="16" t="s">
        <v>125</v>
      </c>
      <c r="B3" t="s">
        <v>126</v>
      </c>
      <c r="E3" s="16" t="s">
        <v>125</v>
      </c>
      <c r="F3" t="s">
        <v>127</v>
      </c>
      <c r="G3" t="s">
        <v>128</v>
      </c>
    </row>
    <row r="4" spans="1:7" x14ac:dyDescent="0.25">
      <c r="A4" s="17" t="s">
        <v>107</v>
      </c>
      <c r="E4" s="17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2:O28"/>
  <sheetViews>
    <sheetView showGridLines="0" workbookViewId="0">
      <selection activeCell="I14" sqref="I14"/>
    </sheetView>
  </sheetViews>
  <sheetFormatPr baseColWidth="10" defaultColWidth="10.7109375" defaultRowHeight="15" x14ac:dyDescent="0.25"/>
  <cols>
    <col min="3" max="3" width="2.7109375" customWidth="1"/>
    <col min="4" max="4" width="45.5703125" bestFit="1" customWidth="1"/>
    <col min="5" max="5" width="20.5703125" customWidth="1"/>
    <col min="6" max="6" width="15.5703125" customWidth="1"/>
    <col min="8" max="9" width="13.140625" bestFit="1" customWidth="1"/>
    <col min="11" max="11" width="13.140625" bestFit="1" customWidth="1"/>
    <col min="13" max="13" width="18.28515625" customWidth="1"/>
    <col min="14" max="14" width="4.42578125" customWidth="1"/>
    <col min="15" max="15" width="18.28515625" customWidth="1"/>
  </cols>
  <sheetData>
    <row r="2" spans="4:15" x14ac:dyDescent="0.25">
      <c r="D2" s="25" t="s">
        <v>129</v>
      </c>
      <c r="E2" s="25"/>
      <c r="F2" s="25"/>
    </row>
    <row r="3" spans="4:15" x14ac:dyDescent="0.25">
      <c r="D3" t="s">
        <v>130</v>
      </c>
      <c r="E3" s="26">
        <v>1520</v>
      </c>
    </row>
    <row r="4" spans="4:15" x14ac:dyDescent="0.25">
      <c r="D4" t="s">
        <v>131</v>
      </c>
      <c r="E4" s="26">
        <v>1475</v>
      </c>
    </row>
    <row r="5" spans="4:15" x14ac:dyDescent="0.25">
      <c r="D5" t="s">
        <v>132</v>
      </c>
      <c r="E5" s="26">
        <f>ROUNDUP((E3+E4)/2,0)</f>
        <v>1498</v>
      </c>
    </row>
    <row r="7" spans="4:15" x14ac:dyDescent="0.25">
      <c r="E7" s="4" t="s">
        <v>133</v>
      </c>
      <c r="F7" s="4" t="s">
        <v>17</v>
      </c>
      <c r="K7" s="2"/>
    </row>
    <row r="8" spans="4:15" x14ac:dyDescent="0.25">
      <c r="K8" s="2"/>
    </row>
    <row r="9" spans="4:15" x14ac:dyDescent="0.25">
      <c r="D9" s="27" t="s">
        <v>134</v>
      </c>
      <c r="E9" s="2">
        <v>15200000</v>
      </c>
      <c r="F9" s="2"/>
      <c r="K9" s="2"/>
    </row>
    <row r="10" spans="4:15" x14ac:dyDescent="0.25">
      <c r="D10" s="27" t="s">
        <v>135</v>
      </c>
      <c r="E10" s="28">
        <f>6000*1520*-1</f>
        <v>-9120000</v>
      </c>
      <c r="F10" s="2">
        <v>6000</v>
      </c>
    </row>
    <row r="11" spans="4:15" x14ac:dyDescent="0.25">
      <c r="D11" s="27" t="s">
        <v>136</v>
      </c>
      <c r="E11" s="28">
        <f>3300*1498*-1</f>
        <v>-4943400</v>
      </c>
      <c r="F11" s="2">
        <f>3300</f>
        <v>3300</v>
      </c>
      <c r="H11" s="3"/>
      <c r="I11" s="3"/>
    </row>
    <row r="12" spans="4:15" x14ac:dyDescent="0.25">
      <c r="E12" s="2"/>
      <c r="F12" s="2"/>
    </row>
    <row r="13" spans="4:15" ht="15.75" customHeight="1" thickBot="1" x14ac:dyDescent="0.3">
      <c r="D13" s="27" t="s">
        <v>137</v>
      </c>
      <c r="E13" s="2">
        <f>SUM(E9:E12)</f>
        <v>1136600</v>
      </c>
      <c r="F13" s="2">
        <f>SUM(F9:F12)</f>
        <v>9300</v>
      </c>
    </row>
    <row r="14" spans="4:15" ht="15.75" customHeight="1" thickBot="1" x14ac:dyDescent="0.3">
      <c r="E14" s="2"/>
      <c r="F14" s="2"/>
      <c r="M14" s="31" t="s">
        <v>138</v>
      </c>
      <c r="O14" s="31" t="s">
        <v>90</v>
      </c>
    </row>
    <row r="15" spans="4:15" x14ac:dyDescent="0.25">
      <c r="D15" s="27" t="s">
        <v>139</v>
      </c>
      <c r="E15" s="2">
        <f>700*1498*-1</f>
        <v>-1048600</v>
      </c>
      <c r="F15" s="2">
        <v>700</v>
      </c>
      <c r="M15" s="2"/>
      <c r="O15" s="2"/>
    </row>
    <row r="16" spans="4:15" x14ac:dyDescent="0.25">
      <c r="E16" s="2"/>
      <c r="F16" s="2"/>
      <c r="M16" s="2">
        <f>100*20000</f>
        <v>2000000</v>
      </c>
      <c r="O16" s="2">
        <f>50*20000</f>
        <v>1000000</v>
      </c>
    </row>
    <row r="17" spans="4:15" x14ac:dyDescent="0.25">
      <c r="D17" s="4" t="s">
        <v>140</v>
      </c>
      <c r="E17" s="29">
        <f>SUM(E13:E16)</f>
        <v>88000</v>
      </c>
      <c r="F17" s="29">
        <f>SUM(F13:F16)</f>
        <v>10000</v>
      </c>
      <c r="M17" s="2">
        <f>47*20000</f>
        <v>940000</v>
      </c>
      <c r="O17" s="2">
        <f>2*20000</f>
        <v>40000</v>
      </c>
    </row>
    <row r="18" spans="4:15" x14ac:dyDescent="0.25">
      <c r="E18" s="2"/>
      <c r="F18" s="2"/>
      <c r="M18" s="2">
        <f>100*20000</f>
        <v>2000000</v>
      </c>
      <c r="O18" s="2">
        <f>4*2000</f>
        <v>8000</v>
      </c>
    </row>
    <row r="19" spans="4:15" x14ac:dyDescent="0.25">
      <c r="E19" s="2"/>
      <c r="F19" s="2"/>
      <c r="M19" s="2">
        <v>4000</v>
      </c>
      <c r="O19" s="2">
        <v>100</v>
      </c>
    </row>
    <row r="20" spans="4:15" x14ac:dyDescent="0.25">
      <c r="D20" t="s">
        <v>141</v>
      </c>
      <c r="M20" s="2">
        <v>-600</v>
      </c>
      <c r="O20" s="2">
        <v>500</v>
      </c>
    </row>
    <row r="21" spans="4:15" x14ac:dyDescent="0.25">
      <c r="D21" t="s">
        <v>142</v>
      </c>
      <c r="M21" s="2"/>
      <c r="O21" s="2"/>
    </row>
    <row r="22" spans="4:15" x14ac:dyDescent="0.25">
      <c r="D22" t="s">
        <v>143</v>
      </c>
      <c r="M22" s="2">
        <f>3*20000*-1</f>
        <v>-60000</v>
      </c>
      <c r="O22" s="2"/>
    </row>
    <row r="23" spans="4:15" x14ac:dyDescent="0.25">
      <c r="D23" t="s">
        <v>144</v>
      </c>
      <c r="M23" s="2">
        <f>30*2000</f>
        <v>60000</v>
      </c>
      <c r="O23" s="2"/>
    </row>
    <row r="24" spans="4:15" x14ac:dyDescent="0.25">
      <c r="M24" s="2"/>
      <c r="O24" s="2"/>
    </row>
    <row r="25" spans="4:15" x14ac:dyDescent="0.25">
      <c r="M25" s="2"/>
      <c r="O25" s="2"/>
    </row>
    <row r="26" spans="4:15" x14ac:dyDescent="0.25">
      <c r="M26" s="2"/>
      <c r="O26" s="2"/>
    </row>
    <row r="27" spans="4:15" ht="15.75" customHeight="1" thickBot="1" x14ac:dyDescent="0.3">
      <c r="M27" s="2"/>
      <c r="O27" s="2"/>
    </row>
    <row r="28" spans="4:15" ht="15.75" customHeight="1" thickBot="1" x14ac:dyDescent="0.3">
      <c r="M28" s="30">
        <f>SUM(M16:M27)</f>
        <v>4943400</v>
      </c>
      <c r="O28" s="30">
        <f>SUM(O16:O27)</f>
        <v>1048600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Cajas</vt:lpstr>
      <vt:lpstr>Informe</vt:lpstr>
      <vt:lpstr>Dias</vt:lpstr>
      <vt:lpstr>Cuenta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Kyle</dc:creator>
  <cp:lastModifiedBy>Andres Kyle</cp:lastModifiedBy>
  <cp:lastPrinted>2026-02-13T12:29:21Z</cp:lastPrinted>
  <dcterms:created xsi:type="dcterms:W3CDTF">2022-01-20T11:37:21Z</dcterms:created>
  <dcterms:modified xsi:type="dcterms:W3CDTF">2026-03-10T11:07:15Z</dcterms:modified>
</cp:coreProperties>
</file>